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quisitions" sheetId="2" r:id="rId6"/>
    <sheet state="visible" name="LINK" sheetId="3" r:id="rId7"/>
    <sheet state="visible" name="Orders" sheetId="4" r:id="rId8"/>
    <sheet state="visible" name="Movements" sheetId="5" r:id="rId9"/>
    <sheet state="visible" name="TS_Vendors" sheetId="6" r:id="rId10"/>
    <sheet state="visible" name="TS_Requisitions" sheetId="7" r:id="rId11"/>
    <sheet state="visible" name="TS_PurchaseOrders" sheetId="8" r:id="rId12"/>
    <sheet state="visible" name="TS_Stock" sheetId="9" r:id="rId13"/>
    <sheet state="visible" name="TS_Orders" sheetId="10" r:id="rId14"/>
    <sheet state="visible" name="TS_Movements" sheetId="11" r:id="rId15"/>
    <sheet state="hidden" name="Config" sheetId="12" r:id="rId16"/>
    <sheet state="hidden" name="Sheet6" sheetId="13" r:id="rId17"/>
  </sheets>
  <definedNames/>
  <calcPr/>
</workbook>
</file>

<file path=xl/sharedStrings.xml><?xml version="1.0" encoding="utf-8"?>
<sst xmlns="http://schemas.openxmlformats.org/spreadsheetml/2006/main" count="11976" uniqueCount="4514">
  <si>
    <t xml:space="preserve"> </t>
  </si>
  <si>
    <t>VHAGAR ORDER SHEET</t>
  </si>
  <si>
    <t>STYLE IMAGE</t>
  </si>
  <si>
    <t xml:space="preserve">STYLE NO. </t>
  </si>
  <si>
    <t xml:space="preserve">PRODUCT NAME </t>
  </si>
  <si>
    <t>AVR</t>
  </si>
  <si>
    <t>S</t>
  </si>
  <si>
    <t>M</t>
  </si>
  <si>
    <t>L</t>
  </si>
  <si>
    <t>XL</t>
  </si>
  <si>
    <t>2XL</t>
  </si>
  <si>
    <t>3XL</t>
  </si>
  <si>
    <t>TTL
CUTTING</t>
  </si>
  <si>
    <t xml:space="preserve">IN HAND </t>
  </si>
  <si>
    <t xml:space="preserve">TRIMS AVG </t>
  </si>
  <si>
    <t xml:space="preserve">UPDATES </t>
  </si>
  <si>
    <t xml:space="preserve">FABRIC </t>
  </si>
  <si>
    <t>VH-EP10_</t>
  </si>
  <si>
    <t>EARTH 
PLAIN 10</t>
  </si>
  <si>
    <t>EARTH 
PLAIN 
20 MTRS</t>
  </si>
  <si>
    <t xml:space="preserve">SHOPIFY </t>
  </si>
  <si>
    <t>VH-EP02_</t>
  </si>
  <si>
    <t>EARTH
 PLAIN 02</t>
  </si>
  <si>
    <t>VH-EP04_</t>
  </si>
  <si>
    <t>EARTH
 PLAIN 04</t>
  </si>
  <si>
    <t>VH-EP06_</t>
  </si>
  <si>
    <t>EARTH 
PLAIN 06</t>
  </si>
  <si>
    <t>VH-EP09_</t>
  </si>
  <si>
    <t>EARTH 
PLAIN 09</t>
  </si>
  <si>
    <t>VH-DO68A_</t>
  </si>
  <si>
    <t>DOMINOZ 
68 A</t>
  </si>
  <si>
    <t xml:space="preserve">&lt; 4 HOLE 18 L 
11 + 1 BUTONS
BRAND LOGO </t>
  </si>
  <si>
    <t>DOMINOZ 
20 MTRS</t>
  </si>
  <si>
    <t>VH-DO68D_</t>
  </si>
  <si>
    <t>DOMINOZ
 68 D</t>
  </si>
  <si>
    <t xml:space="preserve">&lt; 4 HOLE 18 L  
11 + 1 BUTONS 
BRAND LOGO </t>
  </si>
  <si>
    <t>VH-DO68C_</t>
  </si>
  <si>
    <t>DOMINOZ
 68 C</t>
  </si>
  <si>
    <t xml:space="preserve">&lt;  4 HOLE 18 L 
 11 + 1  BUTTONS 
BRAND LOGO </t>
  </si>
  <si>
    <t>VH-DO68B_</t>
  </si>
  <si>
    <t>DOMINOZ
 68 B</t>
  </si>
  <si>
    <t>&lt;  4 HOLE 18 L 
 11 + 1 BUTTONS 
BRAND LOGO</t>
  </si>
  <si>
    <t>VH-DO68F_</t>
  </si>
  <si>
    <t>DOMINOZ
 68 F</t>
  </si>
  <si>
    <t xml:space="preserve">&lt;  4 HOLE 18 L 
 11 + 1 BUTTONS
 BRAND LOGO  </t>
  </si>
  <si>
    <t>VH-DO68E_</t>
  </si>
  <si>
    <t>DOMINOZ
 68 E</t>
  </si>
  <si>
    <t xml:space="preserve">&lt;  4 HOLE 18 L
 11 + 1 BUTTONS
BRAND LOGO </t>
  </si>
  <si>
    <t>VH-FE83A_</t>
  </si>
  <si>
    <t>FENTA 83 A</t>
  </si>
  <si>
    <t xml:space="preserve">&lt; 4 HOLE 18 L 
11 +1 BUTTONS 
BRAND LOGO </t>
  </si>
  <si>
    <t xml:space="preserve">FENTA
20 MTRS </t>
  </si>
  <si>
    <t>VH-FE83B_</t>
  </si>
  <si>
    <t>FENTA 83 B</t>
  </si>
  <si>
    <t xml:space="preserve">&lt; 4 HOLE 18 L 
11+1 BUTTONS 
BRAND LOGO </t>
  </si>
  <si>
    <t>VH-FODN38180A_</t>
  </si>
  <si>
    <t>FORCE
DN38180 A</t>
  </si>
  <si>
    <t xml:space="preserve">&lt; 4 HOLE 18 L 
13+1 BUTTONS 
BRAND LOGO </t>
  </si>
  <si>
    <t xml:space="preserve">FORCE 
20 MTRS </t>
  </si>
  <si>
    <t xml:space="preserve">FLIPKART </t>
  </si>
  <si>
    <t>VH-FODN38180B_</t>
  </si>
  <si>
    <t>FORCE
DN38180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</si>
  <si>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</si>
  <si>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VH-FO10330A_</t>
  </si>
  <si>
    <t>FORCE 
10330 A</t>
  </si>
  <si>
    <t xml:space="preserve">&lt; 4 HOLE 18 L 
11+1 BUTTONS 
BRAND LOGO  </t>
  </si>
  <si>
    <t>FORCE
20MTRS</t>
  </si>
  <si>
    <t>VH-FO10330B_</t>
  </si>
  <si>
    <t>FORCE 
10330 B</t>
  </si>
  <si>
    <t xml:space="preserve">&lt; 4 HOLE 18 L 
11+ 1 BUTTONS 
BRAND LOGO </t>
  </si>
  <si>
    <t>VH-FO10326B_</t>
  </si>
  <si>
    <t>FORCE 
10326 B</t>
  </si>
  <si>
    <t xml:space="preserve">&lt; 4 HOLE 18 L
13+1 BUTTONS 
BRAND LOGO </t>
  </si>
  <si>
    <t>VH-FO10326A_</t>
  </si>
  <si>
    <t>FORCE
 10326 A</t>
  </si>
  <si>
    <t>VH-GS1001A_</t>
  </si>
  <si>
    <t>GUESS 
1001 A</t>
  </si>
  <si>
    <t xml:space="preserve">&lt; 4 HOLE 18 L 
11 + 1 BUTTONS 
BRAND LOGO </t>
  </si>
  <si>
    <t xml:space="preserve">GUESS
20 MTRS </t>
  </si>
  <si>
    <t>VH-GS97B_</t>
  </si>
  <si>
    <t>GUESS
 97 B</t>
  </si>
  <si>
    <t xml:space="preserve">&lt; 4 HOLE 18 L 
13 + 1 BUTTONS 
BRAND LOGO </t>
  </si>
  <si>
    <t>VH-GS97A_</t>
  </si>
  <si>
    <t>GUESS 
97 A</t>
  </si>
  <si>
    <t>&lt;4 HOLE 18 L 
13+ 1 BUTTONS 
 BRAND LOGO</t>
  </si>
  <si>
    <t>VH-GS1001B_</t>
  </si>
  <si>
    <t>GUESS
 1001 B</t>
  </si>
  <si>
    <t xml:space="preserve">&lt; 4 HOLE 18 L 
11 + 1BUTTONS
BRAND LOGO </t>
  </si>
  <si>
    <t>VH-HI38032B_</t>
  </si>
  <si>
    <t>HILTON 
38032 B</t>
  </si>
  <si>
    <t xml:space="preserve">&lt; 4 HOLE 18 L 
11 BUTTONS +
2 BUTTONS ON POCKET 
= 13  
BRAND LOGO </t>
  </si>
  <si>
    <t xml:space="preserve">HILTON 
20 MTRS </t>
  </si>
  <si>
    <t>VH-HI38032A_</t>
  </si>
  <si>
    <t>HILTON
 38032 A</t>
  </si>
  <si>
    <t>VH-HI38034A_</t>
  </si>
  <si>
    <t>HILTON 
38034 A</t>
  </si>
  <si>
    <t xml:space="preserve">&lt; 4 HOLE 18 L 
13 + 1BUTTONS
BRAND LOGO  </t>
  </si>
  <si>
    <t>VH-HI38034B_</t>
  </si>
  <si>
    <t>HILTON
 38034 B</t>
  </si>
  <si>
    <t xml:space="preserve">&lt; 4 HOLE 18 L
13 + 1 BUTTONS
BRAND LOGO </t>
  </si>
  <si>
    <t>VH-KN115</t>
  </si>
  <si>
    <t>KNOT 115</t>
  </si>
  <si>
    <t>KNOT
20 MTRS</t>
  </si>
  <si>
    <t>VH-KN91_</t>
  </si>
  <si>
    <t>KNOT 91</t>
  </si>
  <si>
    <t xml:space="preserve">&lt; 4 HOLE 18 L 
 11 + 1 BUTTONS 
BRAND LOGO </t>
  </si>
  <si>
    <t>VH-KN84_</t>
  </si>
  <si>
    <t>KNOT 84</t>
  </si>
  <si>
    <t>VH-KN83_</t>
  </si>
  <si>
    <t>KNOT 83</t>
  </si>
  <si>
    <t xml:space="preserve">&lt; 4 HOLE 18 L
11 +1 BUTTONS
BRAND LOGO  
</t>
  </si>
  <si>
    <t>VH-KN134_</t>
  </si>
  <si>
    <t>KNOT 134</t>
  </si>
  <si>
    <t xml:space="preserve">&lt; 4 HOLE 18 L 
 11+ 1 BUTTONS 
BRAND LOGO </t>
  </si>
  <si>
    <t>VH-KN11619_</t>
  </si>
  <si>
    <t>KNOT 11619</t>
  </si>
  <si>
    <t xml:space="preserve">&lt; 4 HOLE 18 L 
11+ 1 BUTTONS 
 BRAND LOGO  </t>
  </si>
  <si>
    <t>VH-KN81_</t>
  </si>
  <si>
    <t>KNOT 81</t>
  </si>
  <si>
    <t xml:space="preserve">&lt; 4 HOLE 18 L
11+1 BUTTONS
BRAND LOGO  
</t>
  </si>
  <si>
    <t>VH-KN100_</t>
  </si>
  <si>
    <t>KNOT 100</t>
  </si>
  <si>
    <t>VH-KN107_</t>
  </si>
  <si>
    <t>KNOT 107</t>
  </si>
  <si>
    <t>VH-OPL07_</t>
  </si>
  <si>
    <t>OXFORD 
POLY LYCRA
07</t>
  </si>
  <si>
    <t xml:space="preserve">OXFORD 
POLY 
LYCRA 
20 MTRS </t>
  </si>
  <si>
    <t>VH-OPL02_</t>
  </si>
  <si>
    <t>OXFORD 
POLY LYCRA
02</t>
  </si>
  <si>
    <t>&lt;4 HOLE 18 L 
13+1 BUTTONS 
BRAND LOGO</t>
  </si>
  <si>
    <t>VH-OPL012_</t>
  </si>
  <si>
    <t>OXFORD 
POLY LYCRA
012</t>
  </si>
  <si>
    <t xml:space="preserve">&lt; 4 HOLE 18 L 
13+1 BUTTONS 
BRAND LOGO  </t>
  </si>
  <si>
    <t>VH-OPL03_</t>
  </si>
  <si>
    <t>OXFORD 
POLY LYCRA
03</t>
  </si>
  <si>
    <t xml:space="preserve">&lt; 4 HOLE 18 L 
13+1BUTTONS 
BRAND LOGO </t>
  </si>
  <si>
    <t>VH-OPL09_</t>
  </si>
  <si>
    <t>OXFORD 
POLY LYCRA
09</t>
  </si>
  <si>
    <t>VH-OPL015_</t>
  </si>
  <si>
    <t>OXFORD 
POLY LYCRA
015</t>
  </si>
  <si>
    <t xml:space="preserve">&lt; 4 HOLE 18 L 
13 + 1 BUTTONS
BRAND LOGO  </t>
  </si>
  <si>
    <t>VH-LLO7_</t>
  </si>
  <si>
    <t>LIO LINEN 07</t>
  </si>
  <si>
    <t xml:space="preserve">&lt; 4  HOLE 18 L 
11 + 1 BUTTONS 
BRAND LOGO </t>
  </si>
  <si>
    <t xml:space="preserve">LIO LINEN 
20 MTRS </t>
  </si>
  <si>
    <t>VH-LL22_</t>
  </si>
  <si>
    <t>LIO LINEN 22</t>
  </si>
  <si>
    <t xml:space="preserve">&lt; 4 HOLE 18 L 
9 + 1 BUTTONS 
BRAND LOGO  </t>
  </si>
  <si>
    <t>VH-LT02A_</t>
  </si>
  <si>
    <t>LOTUS 
02 A</t>
  </si>
  <si>
    <t xml:space="preserve">&lt; 4 HOLE 18 L
 13 + 1 BUTTONS 
BRAND LOGO  </t>
  </si>
  <si>
    <t xml:space="preserve">LOTUS 
20 MTRS </t>
  </si>
  <si>
    <t>VH-LT02B_</t>
  </si>
  <si>
    <t>LOTUS 
02 B</t>
  </si>
  <si>
    <t>VH-SP06_</t>
  </si>
  <si>
    <t>SPARROW
06</t>
  </si>
  <si>
    <t xml:space="preserve">&lt; 4 HOLE 18 L
 13 + 1 BUTTONS 
 BRAND LOGO </t>
  </si>
  <si>
    <t xml:space="preserve">SPARROW
20 MTRS </t>
  </si>
  <si>
    <t>VH-SP03_</t>
  </si>
  <si>
    <t>SPARROW 
03</t>
  </si>
  <si>
    <t>VH-SP04_</t>
  </si>
  <si>
    <t>SPARROW
04</t>
  </si>
  <si>
    <t>VH-SP05_</t>
  </si>
  <si>
    <t>SPARROW
05</t>
  </si>
  <si>
    <t xml:space="preserve">&lt; 4 HOLE 18 L
13 + 1 BUTTONS  
 BRAND LOGO </t>
  </si>
  <si>
    <t xml:space="preserve">SPARROW 
20 MTRS </t>
  </si>
  <si>
    <t>VH-SC44B_</t>
  </si>
  <si>
    <t>SUPERCOOL
44B</t>
  </si>
  <si>
    <t xml:space="preserve">&lt; 4 HOLE 18 L
11 + 1 BUTTONS  
BRAND LOGO </t>
  </si>
  <si>
    <t>SUPERCOOL
20 MTRS</t>
  </si>
  <si>
    <t>VH-SC44A_</t>
  </si>
  <si>
    <t>SUPERCOOL
44A</t>
  </si>
  <si>
    <t xml:space="preserve">&lt; 4 HOLE 18 L
11 + 1 BUTTONS 
 BRAND LOGO </t>
  </si>
  <si>
    <t>VH-SC43B_</t>
  </si>
  <si>
    <t>SUPERCOOL
43B</t>
  </si>
  <si>
    <t>VH-SC43A_</t>
  </si>
  <si>
    <t>SUPERCOOL
43A</t>
  </si>
  <si>
    <t>VH-SC39B_</t>
  </si>
  <si>
    <t>SUPERCOOL
39B</t>
  </si>
  <si>
    <t xml:space="preserve">&lt; 4 HOLE 18 L
 11 + 1 BUTTONS 
 BRAND LOGO </t>
  </si>
  <si>
    <t>VH-SC39A_</t>
  </si>
  <si>
    <t>SUPERCOOL
39A</t>
  </si>
  <si>
    <t xml:space="preserve">&lt; 4 HOLE 18 L
11 + 1 BUTTONS  
 BRAND LOGO </t>
  </si>
  <si>
    <t>VH-SC58B_</t>
  </si>
  <si>
    <t>SUPERCOOL
58B</t>
  </si>
  <si>
    <t xml:space="preserve">&lt; 4 HOLE 18 L 
11 + 1 BUTTONS
 BRAND LOGO </t>
  </si>
  <si>
    <t>SUPERCOOL
20 MTRS
+7 MTRS</t>
  </si>
  <si>
    <t>VH-SC58A_</t>
  </si>
  <si>
    <t>SUPERCOOL
58A</t>
  </si>
  <si>
    <t xml:space="preserve">&lt; 4 HOLE 18 L
11 + 1BUTTONS  
BRAND LOGO </t>
  </si>
  <si>
    <t>VH-MIX5B34A_</t>
  </si>
  <si>
    <t>MILANO
 X5B34A</t>
  </si>
  <si>
    <t xml:space="preserve">MILANO 
20 MTRS </t>
  </si>
  <si>
    <t>VH-MIY5F044B_</t>
  </si>
  <si>
    <t>MILANO 
Y5F044B</t>
  </si>
  <si>
    <t xml:space="preserve">&lt; 4 HOLE  18 L
 7 + 1 BUTTONS
 BRAND LOGO </t>
  </si>
  <si>
    <t>MILANO
20 MTRS</t>
  </si>
  <si>
    <t>VH-MIZ5H98E_</t>
  </si>
  <si>
    <t>MILANO
Z5H98E</t>
  </si>
  <si>
    <t xml:space="preserve">&lt; 4 HOLE 18 L  
 7 + 1BUTTONS  
 BRAND LOGO </t>
  </si>
  <si>
    <t>VH-MIZ5B215B_</t>
  </si>
  <si>
    <t>MILANO
MIZ5B215B</t>
  </si>
  <si>
    <t xml:space="preserve">&lt;4 HOLE 18 L
11 + 1 BUTTONS
BRAND LOGO </t>
  </si>
  <si>
    <t xml:space="preserve">MILANO 
20 MTRS  </t>
  </si>
  <si>
    <t>VH-MIZ5F78_</t>
  </si>
  <si>
    <t>MILANO
Z5F78</t>
  </si>
  <si>
    <t xml:space="preserve">&lt; 4 HOLE 18 L 
 6+1 BUTTONS 
 BRAND LOGO </t>
  </si>
  <si>
    <t>VH-EP63B_</t>
  </si>
  <si>
    <t>EPSON 63 B</t>
  </si>
  <si>
    <t>EPSON 
20 MTRS</t>
  </si>
  <si>
    <t>VH-EP63A_</t>
  </si>
  <si>
    <t>EPSON 63 A</t>
  </si>
  <si>
    <t xml:space="preserve">&lt; 4 HOLE 18 L 
13+ 1 BUTTONS 
BRAND LOGO  </t>
  </si>
  <si>
    <t>VH-EP65A_</t>
  </si>
  <si>
    <t>EPSON 65 A</t>
  </si>
  <si>
    <t xml:space="preserve">&lt; 4 HOLE 18 L 
13 + 1 BUTTONS 
 BRAND LOGO  </t>
  </si>
  <si>
    <t>VH-EP65B_</t>
  </si>
  <si>
    <t>EPSON 65 B</t>
  </si>
  <si>
    <t xml:space="preserve">&lt; 4 HOLE 18 L 
11 + 1 BUTTONS 
 BRAND LOGO  </t>
  </si>
  <si>
    <t>VH-PO91440A_</t>
  </si>
  <si>
    <t>POLO
 91440 A</t>
  </si>
  <si>
    <t xml:space="preserve">&lt; 4 HOLE 18 L 
13 + 1 BUTTONS 
BRAND LOGO  </t>
  </si>
  <si>
    <t>POLO 
20 MTRS</t>
  </si>
  <si>
    <t>VH-PO91452A_</t>
  </si>
  <si>
    <t>POLO
 91452 A</t>
  </si>
  <si>
    <t>&lt; 4 HOLE 18 L 
13/ 16 L ON CUFF 
 BUTTONS 
BRAND LOGO</t>
  </si>
  <si>
    <t>VH-PO91452B_</t>
  </si>
  <si>
    <t>POLO
 91452 B</t>
  </si>
  <si>
    <t>VH-PO91433A_</t>
  </si>
  <si>
    <t>POLO 
91433A</t>
  </si>
  <si>
    <t>&lt; 4 HOLE 18 L 
13 + 1BUTTONS 
BRAND LOGO</t>
  </si>
  <si>
    <t>VH-PO91433B_</t>
  </si>
  <si>
    <t>POLO 
91433B</t>
  </si>
  <si>
    <t>&lt; 4 HOLE 18 L
13 + 1BUTTONS 
BRAND LOGO</t>
  </si>
  <si>
    <t>VH-PO91440B_</t>
  </si>
  <si>
    <t>POLO
 91440 B</t>
  </si>
  <si>
    <t xml:space="preserve">&lt; 4 HOLE 18 L 
 14 +1 BUTTONS 
BRAND LOGO </t>
  </si>
  <si>
    <t>POLO
20 MTRS</t>
  </si>
  <si>
    <t>VH-PO91130A_</t>
  </si>
  <si>
    <t>POLO
 91130 A</t>
  </si>
  <si>
    <t>&lt; 4 HOLE 18 L 
13 + 1  BUTTONS  
BRAND LOGO</t>
  </si>
  <si>
    <t>VH-PO91130B_</t>
  </si>
  <si>
    <t>POLO 
91130 B</t>
  </si>
  <si>
    <t>&lt; 4 HOLE 18 L
13 + 1 BUTTONS 
BRAND LOGO</t>
  </si>
  <si>
    <t>VH-PO91422A_</t>
  </si>
  <si>
    <t>POLO 
91422A</t>
  </si>
  <si>
    <t xml:space="preserve">&lt; 4 HOLE 18 L 
11 + 1 BUTTONS 
BRAND LOGO 
1 BUTTON ON FLAP </t>
  </si>
  <si>
    <t>VH-PO91422B_</t>
  </si>
  <si>
    <t>POLO 
91422B</t>
  </si>
  <si>
    <t>VH-SA38160A_</t>
  </si>
  <si>
    <t>SATELLITE 
38160 A</t>
  </si>
  <si>
    <t xml:space="preserve">&lt; 4 HOLE 18 L
11 + 1 BUTTONS 
BRAND LOGO </t>
  </si>
  <si>
    <t xml:space="preserve">SATELLITE 
20 MTRS </t>
  </si>
  <si>
    <t>VH-SA38160B_</t>
  </si>
  <si>
    <t>SATELLITE 
38160 B</t>
  </si>
  <si>
    <t xml:space="preserve">&lt; 4 HOLE 18 L 
11 + 1 BUTTONS 
BRAND LOGO  </t>
  </si>
  <si>
    <t>VH-SA38158B_</t>
  </si>
  <si>
    <t xml:space="preserve">SATELLITE 38158 B </t>
  </si>
  <si>
    <t>VH-SA38158A_</t>
  </si>
  <si>
    <t xml:space="preserve">SATELLITE 38158
A </t>
  </si>
  <si>
    <t>VH-PLTZ5H165C_</t>
  </si>
  <si>
    <t xml:space="preserve">PLATINUM 
Z5H165 C </t>
  </si>
  <si>
    <t xml:space="preserve">&lt; 4 HOLE 18 L
13 + 1 BUTTONS 
BRAND LOGO </t>
  </si>
  <si>
    <t xml:space="preserve">PLATINUM 
20 MTRS </t>
  </si>
  <si>
    <t>VH-PLTZ5H165A_</t>
  </si>
  <si>
    <t xml:space="preserve">PLATINUM 
Z5H165 A </t>
  </si>
  <si>
    <t>VH-PLTY5B129A_</t>
  </si>
  <si>
    <t>PLATINUM 
Y5B129 A</t>
  </si>
  <si>
    <t xml:space="preserve">&lt; 4 HOLE 18 L
 13 + 1BUTTONS
BRAND LOGO  </t>
  </si>
  <si>
    <t>VH-TS38024A_</t>
  </si>
  <si>
    <t>TISSOT 
38024 A</t>
  </si>
  <si>
    <t xml:space="preserve">&lt; 4 HOLE 18L 
11 + 1 BUTTONS 
BRAND LOGO </t>
  </si>
  <si>
    <t>TISSOT 
20 MTRS</t>
  </si>
  <si>
    <t>VH-TS38024B_</t>
  </si>
  <si>
    <t xml:space="preserve">TISSOT 
38024 B </t>
  </si>
  <si>
    <t>VH-TS38030A_</t>
  </si>
  <si>
    <t xml:space="preserve">TISSOT 
38030 A </t>
  </si>
  <si>
    <t xml:space="preserve">&lt; 4 HOLE 18 L 
11+1 BUTTON 
BRAND LOGO </t>
  </si>
  <si>
    <t>VH-TS38030B_</t>
  </si>
  <si>
    <t>TISSOT 
38030 B</t>
  </si>
  <si>
    <t>VH-EP70A_</t>
  </si>
  <si>
    <t>EPSON 
70 A</t>
  </si>
  <si>
    <t xml:space="preserve">EPSON
20 MTRS </t>
  </si>
  <si>
    <t>VH-EP70B_</t>
  </si>
  <si>
    <t>EPSON 
70 B</t>
  </si>
  <si>
    <t>VH-PLY5C026B_</t>
  </si>
  <si>
    <t>PLAY Y5C026B</t>
  </si>
  <si>
    <t xml:space="preserve">&lt; 4 HOLE 18 L 
6 + 1 BUTTONS 
 BRAND LOGO </t>
  </si>
  <si>
    <t>SUPERCOOL</t>
  </si>
  <si>
    <t>VH-MLXY5E102A_</t>
  </si>
  <si>
    <t>Milange 
lycra 
XY5E102A</t>
  </si>
  <si>
    <t xml:space="preserve">&lt; 4 HOLE 18 L 
 7 + 1 BUTTONS 
BRAND LOGO </t>
  </si>
  <si>
    <t xml:space="preserve">Milange 
lycra 
20 mtrs </t>
  </si>
  <si>
    <t>VH-MIZ5A10A_</t>
  </si>
  <si>
    <t>MILANO 
Z5A10A</t>
  </si>
  <si>
    <t>VH-MIR5C09B_</t>
  </si>
  <si>
    <t>MILANO 
R5C09B</t>
  </si>
  <si>
    <t xml:space="preserve">&lt; 4 HOLE 18 L
11+1 BUTTONS 
BRAND LOGO </t>
  </si>
  <si>
    <t>VH-PLV5197A_</t>
  </si>
  <si>
    <t>PLAY 
V5197A</t>
  </si>
  <si>
    <t xml:space="preserve">&lt; 4 HOLE 18 L 
 7 + 1BUTTONS 
BRAND LOGO 
</t>
  </si>
  <si>
    <t xml:space="preserve">PLAY 
20 MTRS </t>
  </si>
  <si>
    <t>VH-PLZ5I179A_</t>
  </si>
  <si>
    <t>PLAY 
Z5I179</t>
  </si>
  <si>
    <t xml:space="preserve">&lt; 4 HOLE 18 L 
 11+1 BUTTONS
BRAND LOGO </t>
  </si>
  <si>
    <t>VH-PLZ5C19A_</t>
  </si>
  <si>
    <t>PLAY 
Z5C19A</t>
  </si>
  <si>
    <t>VH-X5C28A_</t>
  </si>
  <si>
    <t>PLAY 
X5C28A</t>
  </si>
  <si>
    <t>VH-Y5A183B_</t>
  </si>
  <si>
    <t>PLAY 
Y5A183B</t>
  </si>
  <si>
    <t xml:space="preserve">&lt; 4 HOLE 18 L 
11 +1 BUTTONS 
BRAND LOGO  </t>
  </si>
  <si>
    <t>VH-PLY5B205A_</t>
  </si>
  <si>
    <t>PLAY 
Y5B205A</t>
  </si>
  <si>
    <t xml:space="preserve">&lt; 4 HOLE 18 L 
6 + 1 BUTTONS 
BRAND LOGO </t>
  </si>
  <si>
    <t>VH-PLZ5I140A_</t>
  </si>
  <si>
    <t>PLAY 
Z5I140A</t>
  </si>
  <si>
    <t xml:space="preserve">&lt; 4 HOLE 18 L
 11+1 BUTTONS
BRAND LOGO  </t>
  </si>
  <si>
    <t>VH-PLZ5H64A_</t>
  </si>
  <si>
    <t>PLAY
Z5H64A</t>
  </si>
  <si>
    <t xml:space="preserve">&lt; 4 HOLE 18 L 
7 + 1 BUTTONS 
BRAND LOGO </t>
  </si>
  <si>
    <t>VH-VTZ5G67A</t>
  </si>
  <si>
    <t>VELVET 
TOUCH 
Z5G67A</t>
  </si>
  <si>
    <t xml:space="preserve">&lt; 4 HOLE 18 L 
11 + 1BUTTONS
BRAND LOGO  </t>
  </si>
  <si>
    <t>VELVET
TOUCH
20 MTRS</t>
  </si>
  <si>
    <t>VH-PLYC169_</t>
  </si>
  <si>
    <t>PLAY C169</t>
  </si>
  <si>
    <t>PLAY</t>
  </si>
  <si>
    <t>VH-ITC325A_</t>
  </si>
  <si>
    <t>ITALIAN C325A</t>
  </si>
  <si>
    <t>ITALIAN</t>
  </si>
  <si>
    <t>VH-LX22</t>
  </si>
  <si>
    <t>LUXURY LINEN 022</t>
  </si>
  <si>
    <t>LUXRY LINEN</t>
  </si>
  <si>
    <t>VH-ITD15A_</t>
  </si>
  <si>
    <t>ITALIAN D15A</t>
  </si>
  <si>
    <t>VH-CLB222A_</t>
  </si>
  <si>
    <t>COAL B222A</t>
  </si>
  <si>
    <t>COAL</t>
  </si>
  <si>
    <t>VH-LX04</t>
  </si>
  <si>
    <t>LUXURY LINEN 04</t>
  </si>
  <si>
    <t>VH-LX09</t>
  </si>
  <si>
    <t>LUXURY LINEN 09</t>
  </si>
  <si>
    <t>VH-CLC172</t>
  </si>
  <si>
    <t>COAL C 172</t>
  </si>
  <si>
    <t>VH-PLYD25A</t>
  </si>
  <si>
    <t>PLAY D 25A</t>
  </si>
  <si>
    <t>VH-CS336A</t>
  </si>
  <si>
    <t>CANVAS 336 A</t>
  </si>
  <si>
    <t>CANVAS</t>
  </si>
  <si>
    <t>VH-CHK04</t>
  </si>
  <si>
    <t>CHECKS 04</t>
  </si>
  <si>
    <t>CHECKS</t>
  </si>
  <si>
    <t>VH-LX12</t>
  </si>
  <si>
    <t>LUXURY LINEN 12</t>
  </si>
  <si>
    <t>req_id</t>
  </si>
  <si>
    <t>line_no</t>
  </si>
  <si>
    <t>created_at</t>
  </si>
  <si>
    <t>received_at</t>
  </si>
  <si>
    <t>master</t>
  </si>
  <si>
    <t>fabric_name</t>
  </si>
  <si>
    <t>meters_issued</t>
  </si>
  <si>
    <t>style_no</t>
  </si>
  <si>
    <t>est_S</t>
  </si>
  <si>
    <t>est_M</t>
  </si>
  <si>
    <t>est_L</t>
  </si>
  <si>
    <t>est_XL</t>
  </si>
  <si>
    <t>est_2XL</t>
  </si>
  <si>
    <t>est_3XL</t>
  </si>
  <si>
    <t>est_total</t>
  </si>
  <si>
    <t>act_S</t>
  </si>
  <si>
    <t>act_M</t>
  </si>
  <si>
    <t>act_L</t>
  </si>
  <si>
    <t>act_XL</t>
  </si>
  <si>
    <t>act_2XL</t>
  </si>
  <si>
    <t>act_3XL</t>
  </si>
  <si>
    <t>act_total</t>
  </si>
  <si>
    <t>variance</t>
  </si>
  <si>
    <t>status</t>
  </si>
  <si>
    <t>created_by</t>
  </si>
  <si>
    <t>received_by</t>
  </si>
  <si>
    <t>notes</t>
  </si>
  <si>
    <t>https://script.google.com/macros/s/AKfycbz6VMl5zxqii7g9d3UsEpyyvz8qIPUBwg0P-YD2FNQyKOOT7haN6VLjSggbYaVs7Kstlw/exec</t>
  </si>
  <si>
    <t>order_id</t>
  </si>
  <si>
    <t>order_date</t>
  </si>
  <si>
    <t>channel</t>
  </si>
  <si>
    <t>buyer_name</t>
  </si>
  <si>
    <t>buyer_contact</t>
  </si>
  <si>
    <t>product_name</t>
  </si>
  <si>
    <t>size</t>
  </si>
  <si>
    <t>quantity</t>
  </si>
  <si>
    <t>submitted_at</t>
  </si>
  <si>
    <t>submitted_by</t>
  </si>
  <si>
    <t>ORD-20260504-145121</t>
  </si>
  <si>
    <t>Flipkart</t>
  </si>
  <si>
    <t>Piyush kumar sudani</t>
  </si>
  <si>
    <t>-</t>
  </si>
  <si>
    <t>Delivered</t>
  </si>
  <si>
    <t>angelvhagar.coordinator@gmail.com</t>
  </si>
  <si>
    <t>ORD-20260504-145658</t>
  </si>
  <si>
    <t>Pranav jagtap</t>
  </si>
  <si>
    <t>ORD-20260504-150020</t>
  </si>
  <si>
    <t>Komal mishra</t>
  </si>
  <si>
    <t>TISSOT 
38024 B</t>
  </si>
  <si>
    <t>ORD-20260504-153051</t>
  </si>
  <si>
    <t>Gaurav tibrewala</t>
  </si>
  <si>
    <t>ORD-20260504-153906</t>
  </si>
  <si>
    <t>Vishal chokhani</t>
  </si>
  <si>
    <t>ORD-20260504-154031</t>
  </si>
  <si>
    <t>ORD-20260504-162358</t>
  </si>
  <si>
    <t>riya beauty parlour</t>
  </si>
  <si>
    <t>ORD-20260504-162833</t>
  </si>
  <si>
    <t>Avishek kumar</t>
  </si>
  <si>
    <t>Returned</t>
  </si>
  <si>
    <t>ORD-20260506-141449</t>
  </si>
  <si>
    <t>Vrinda chokhani</t>
  </si>
  <si>
    <t>Cancelled</t>
  </si>
  <si>
    <t>ORD-20260506-142243</t>
  </si>
  <si>
    <t>ORD-20260506-142859</t>
  </si>
  <si>
    <t>ORD-20260506-143340</t>
  </si>
  <si>
    <t>vrinda chokhani</t>
  </si>
  <si>
    <t>ORD-20260506-143450</t>
  </si>
  <si>
    <t>shankar moratagi</t>
  </si>
  <si>
    <t>ORD-20260506-144202</t>
  </si>
  <si>
    <t>Riya beauty parlour</t>
  </si>
  <si>
    <t>ORD-20260506-145032</t>
  </si>
  <si>
    <t>satish kumawat</t>
  </si>
  <si>
    <t>ORD-20260506-145214</t>
  </si>
  <si>
    <t>soni kumari</t>
  </si>
  <si>
    <t>ORD-20260506-145407</t>
  </si>
  <si>
    <t>ORD-20260506-145523</t>
  </si>
  <si>
    <t>ORD-20260506-145840</t>
  </si>
  <si>
    <t>ORD-20260506-145931</t>
  </si>
  <si>
    <t>ORD-20260507-161839</t>
  </si>
  <si>
    <t>Shopify</t>
  </si>
  <si>
    <t>ORD-20260507-161946</t>
  </si>
  <si>
    <t>Bhushan kakade</t>
  </si>
  <si>
    <t>ORD-20260507-164031</t>
  </si>
  <si>
    <t>khushboo reegusia</t>
  </si>
  <si>
    <t>ORD-20260507-164130</t>
  </si>
  <si>
    <t>Dilip tibrewala</t>
  </si>
  <si>
    <t>ORD-20260507-164309</t>
  </si>
  <si>
    <t>Aditya didwani</t>
  </si>
  <si>
    <t>ORD-20260507-164557</t>
  </si>
  <si>
    <t>Raghav tibrewala</t>
  </si>
  <si>
    <t>ORD-20260507-165042</t>
  </si>
  <si>
    <t>ORD-20260507-165446</t>
  </si>
  <si>
    <t>khushboo reengusia</t>
  </si>
  <si>
    <t>ORD-20260507-170504</t>
  </si>
  <si>
    <t>ORD-20260507-170636</t>
  </si>
  <si>
    <t>vishal chokhani</t>
  </si>
  <si>
    <t>ORD-20260507-171933</t>
  </si>
  <si>
    <t>ORD-20260507-172230</t>
  </si>
  <si>
    <t>Vikram raichura</t>
  </si>
  <si>
    <t>ORD-20260507-172314</t>
  </si>
  <si>
    <t>Ramesh</t>
  </si>
  <si>
    <t>ORD-20260507-175146</t>
  </si>
  <si>
    <t>Vishnu . G</t>
  </si>
  <si>
    <t>ORD-20260507-175242</t>
  </si>
  <si>
    <t>Manav</t>
  </si>
  <si>
    <t>ORD-20260507-180017</t>
  </si>
  <si>
    <t>Anurag mittal</t>
  </si>
  <si>
    <t>ORD-20260507-180428</t>
  </si>
  <si>
    <t>ORD-20260507-180606</t>
  </si>
  <si>
    <t>Jayshree kankani</t>
  </si>
  <si>
    <t>ORD-20260507-180837</t>
  </si>
  <si>
    <t>Hemal kothari</t>
  </si>
  <si>
    <t>ORD-20260509-143813</t>
  </si>
  <si>
    <t>Anshika</t>
  </si>
  <si>
    <t>ORD-20260530-101027</t>
  </si>
  <si>
    <t>JAYAHSREE</t>
  </si>
  <si>
    <t>ORD-20260603-180257</t>
  </si>
  <si>
    <t>U obularathaiah Ummadi</t>
  </si>
  <si>
    <t>ORD-20260606-173918</t>
  </si>
  <si>
    <t>ORD-20260609-121543</t>
  </si>
  <si>
    <t>PRANALI DETHE</t>
  </si>
  <si>
    <t>ORD-20260615-124638</t>
  </si>
  <si>
    <t>GAURAV TIBREWALA</t>
  </si>
  <si>
    <t>MOV-20260504-145121-001</t>
  </si>
  <si>
    <t>SALE</t>
  </si>
  <si>
    <t>Order ORD-20260504-145121 via Flipkart</t>
  </si>
  <si>
    <t>unknown</t>
  </si>
  <si>
    <t>MOV-20260504-145323-001</t>
  </si>
  <si>
    <t>Order ORD-20260504-145323 via Shopify</t>
  </si>
  <si>
    <t>ORD-20260504-145323</t>
  </si>
  <si>
    <t>MOV-20260504-145445-001</t>
  </si>
  <si>
    <t>CANCEL</t>
  </si>
  <si>
    <t>Cancelled order ORD-20260504-145323</t>
  </si>
  <si>
    <t>MOV-20260504-145658-001</t>
  </si>
  <si>
    <t>Order ORD-20260504-145658 via Flipkart</t>
  </si>
  <si>
    <t>MOV-20260504-150020-001</t>
  </si>
  <si>
    <t>Order ORD-20260504-150020 via Flipkart</t>
  </si>
  <si>
    <t>MOV-20260504-153051-001</t>
  </si>
  <si>
    <t>Order ORD-20260504-153051 via Flipkart</t>
  </si>
  <si>
    <t>MOV-20260504-153051-002</t>
  </si>
  <si>
    <t>MOV-20260504-153906-001</t>
  </si>
  <si>
    <t>Order ORD-20260504-153906 via Flipkart</t>
  </si>
  <si>
    <t>MOV-20260504-153906-002</t>
  </si>
  <si>
    <t>MOV-20260504-153906-003</t>
  </si>
  <si>
    <t>MOV-20260504-154031-001</t>
  </si>
  <si>
    <t>Order ORD-20260504-154031 via Flipkart</t>
  </si>
  <si>
    <t>MOV-20260504-162105-001</t>
  </si>
  <si>
    <t>Order ORD-20260504-162105 via Flipkart</t>
  </si>
  <si>
    <t>ORD-20260504-162105</t>
  </si>
  <si>
    <t>MOV-20260504-162229-001</t>
  </si>
  <si>
    <t>Cancelled order ORD-20260504-162105</t>
  </si>
  <si>
    <t>MOV-20260504-162358-001</t>
  </si>
  <si>
    <t>Order ORD-20260504-162358 via Flipkart</t>
  </si>
  <si>
    <t>MOV-20260504-162833-001</t>
  </si>
  <si>
    <t>Order ORD-20260504-162833 via Flipkart</t>
  </si>
  <si>
    <t>MOV-20260506-141449-001</t>
  </si>
  <si>
    <t>Order ORD-20260506-141449 via Flipkart</t>
  </si>
  <si>
    <t>MOV-20260506-142243-001</t>
  </si>
  <si>
    <t>Order ORD-20260506-142243 via Flipkart</t>
  </si>
  <si>
    <t>MOV-20260506-142612-001</t>
  </si>
  <si>
    <t>Cancelled order ORD-20260506-142243</t>
  </si>
  <si>
    <t>MOV-20260506-142643-001</t>
  </si>
  <si>
    <t>Cancelled order ORD-20260506-141449</t>
  </si>
  <si>
    <t>MOV-20260506-142859-001</t>
  </si>
  <si>
    <t>Order ORD-20260506-142859 via Flipkart</t>
  </si>
  <si>
    <t>MOV-20260506-143340-001</t>
  </si>
  <si>
    <t>Order ORD-20260506-143340 via Flipkart</t>
  </si>
  <si>
    <t>MOV-20260506-143340-002</t>
  </si>
  <si>
    <t>MOV-20260506-143450-001</t>
  </si>
  <si>
    <t>Order ORD-20260506-143450 via Flipkart</t>
  </si>
  <si>
    <t>MOV-20260506-144202-001</t>
  </si>
  <si>
    <t>Order ORD-20260506-144202 via Flipkart</t>
  </si>
  <si>
    <t>MOV-20260506-145032-001</t>
  </si>
  <si>
    <t>Order ORD-20260506-145032 via Flipkart</t>
  </si>
  <si>
    <t>MOV-20260506-145214-001</t>
  </si>
  <si>
    <t>Order ORD-20260506-145214 via Flipkart</t>
  </si>
  <si>
    <t>MOV-20260506-145407-001</t>
  </si>
  <si>
    <t>Order ORD-20260506-145407 via Flipkart</t>
  </si>
  <si>
    <t>MOV-20260506-145523-001</t>
  </si>
  <si>
    <t>Order ORD-20260506-145523 via Flipkart</t>
  </si>
  <si>
    <t>MOV-20260506-145840-001</t>
  </si>
  <si>
    <t>Order ORD-20260506-145840 via Flipkart</t>
  </si>
  <si>
    <t>MOV-20260506-145931-001</t>
  </si>
  <si>
    <t>Order ORD-20260506-145931 via Flipkart</t>
  </si>
  <si>
    <t>MOV-20260507-161839-001</t>
  </si>
  <si>
    <t>Order ORD-20260507-161839 via Shopify</t>
  </si>
  <si>
    <t>MOV-20260507-161946-001</t>
  </si>
  <si>
    <t>Order ORD-20260507-161946 via Shopify</t>
  </si>
  <si>
    <t>MOV-20260507-164031-001</t>
  </si>
  <si>
    <t>Order ORD-20260507-164031 via Shopify</t>
  </si>
  <si>
    <t>MOV-20260507-164130-001</t>
  </si>
  <si>
    <t>Order ORD-20260507-164130 via Shopify</t>
  </si>
  <si>
    <t>MOV-20260507-164309-001</t>
  </si>
  <si>
    <t>Order ORD-20260507-164309 via Shopify</t>
  </si>
  <si>
    <t>MOV-20260507-164557-001</t>
  </si>
  <si>
    <t>Order ORD-20260507-164557 via Shopify</t>
  </si>
  <si>
    <t>MOV-20260507-164557-002</t>
  </si>
  <si>
    <t>MOV-20260507-164626-001</t>
  </si>
  <si>
    <t>Aman</t>
  </si>
  <si>
    <t>Order ORD-20260507-164626 via Flipkart</t>
  </si>
  <si>
    <t>ORD-20260507-164626</t>
  </si>
  <si>
    <t>amandeolinkd@gmail.com</t>
  </si>
  <si>
    <t>MOV-20260507164849-REQ-1-XL</t>
  </si>
  <si>
    <t>PRODUCTION_RECEIVED</t>
  </si>
  <si>
    <t>Requisition REQ-20260507-164753 · Master: Xyz</t>
  </si>
  <si>
    <t>REQ-20260507-164753</t>
  </si>
  <si>
    <t>MOV-20260507-165042-001</t>
  </si>
  <si>
    <t>Order ORD-20260507-165042 via Shopify</t>
  </si>
  <si>
    <t>MOV-20260507-165042-002</t>
  </si>
  <si>
    <t>MOV-20260507-165446-001</t>
  </si>
  <si>
    <t>Order ORD-20260507-165446 via Shopify</t>
  </si>
  <si>
    <t>MOV-20260507-165446-002</t>
  </si>
  <si>
    <t>MOV-20260507-165446-003</t>
  </si>
  <si>
    <t>MOV-20260507-170504-001</t>
  </si>
  <si>
    <t>Order ORD-20260507-170504 via Shopify</t>
  </si>
  <si>
    <t>MOV-20260507-170504-002</t>
  </si>
  <si>
    <t>MOV-20260507-170504-003</t>
  </si>
  <si>
    <t>MOV-20260507-170504-004</t>
  </si>
  <si>
    <t>MOV-20260507-170504-005</t>
  </si>
  <si>
    <t>MOV-20260507-170504-006</t>
  </si>
  <si>
    <t>MOV-20260507-170504-007</t>
  </si>
  <si>
    <t>MOV-20260507-170636-001</t>
  </si>
  <si>
    <t>Order ORD-20260507-170636 via Shopify</t>
  </si>
  <si>
    <t>MOV-20260507-170636-002</t>
  </si>
  <si>
    <t>MOV-20260507-171933-001</t>
  </si>
  <si>
    <t>Order ORD-20260507-171933 via Shopify</t>
  </si>
  <si>
    <t>MOV-20260507-171933-002</t>
  </si>
  <si>
    <t>MOV-20260507-171933-003</t>
  </si>
  <si>
    <t>MOV-20260507-171933-004</t>
  </si>
  <si>
    <t>MOV-20260507-171933-005</t>
  </si>
  <si>
    <t>MOV-20260507-172230-001</t>
  </si>
  <si>
    <t>Order ORD-20260507-172230 via Shopify</t>
  </si>
  <si>
    <t>MOV-20260507-172230-002</t>
  </si>
  <si>
    <t>MOV-20260507-172314-001</t>
  </si>
  <si>
    <t>Order ORD-20260507-172314 via Shopify</t>
  </si>
  <si>
    <t>MOV-20260507-175146-001</t>
  </si>
  <si>
    <t>Order ORD-20260507-175146 via Shopify</t>
  </si>
  <si>
    <t>MOV-20260507-175242-001</t>
  </si>
  <si>
    <t>Order ORD-20260507-175242 via Shopify</t>
  </si>
  <si>
    <t>MOV-20260507-180017-001</t>
  </si>
  <si>
    <t>Order ORD-20260507-180017 via Shopify</t>
  </si>
  <si>
    <t>MOV-20260507-180428-001</t>
  </si>
  <si>
    <t>Order ORD-20260507-180428 via Shopify</t>
  </si>
  <si>
    <t>MOV-20260507-180606-001</t>
  </si>
  <si>
    <t>Order ORD-20260507-180606 via Shopify</t>
  </si>
  <si>
    <t>MOV-20260507-180700-001</t>
  </si>
  <si>
    <t>Order ORD-20260507-180700 via Shopify</t>
  </si>
  <si>
    <t>ORD-20260507-180700</t>
  </si>
  <si>
    <t>MOV-20260507-180837-001</t>
  </si>
  <si>
    <t>Order ORD-20260507-180837 via Shopify</t>
  </si>
  <si>
    <t>MOV-20260507-180837-002</t>
  </si>
  <si>
    <t>MOV-20260507-180837-003</t>
  </si>
  <si>
    <t>MOV-20260508145440-000</t>
  </si>
  <si>
    <t>RESTOCK</t>
  </si>
  <si>
    <t>physical stock count</t>
  </si>
  <si>
    <t>MOV-20260508145440-001</t>
  </si>
  <si>
    <t>MOV-20260508145440-002</t>
  </si>
  <si>
    <t>MOV-20260508145440-003</t>
  </si>
  <si>
    <t>MOV-20260508145622-000</t>
  </si>
  <si>
    <t>MANUAL_ADJUST</t>
  </si>
  <si>
    <t>physical stock</t>
  </si>
  <si>
    <t>MOV-20260508145622-001</t>
  </si>
  <si>
    <t>MOV-20260508145622-002</t>
  </si>
  <si>
    <t>MOV-20260508145622-003</t>
  </si>
  <si>
    <t>MOV-20260509-143813-001</t>
  </si>
  <si>
    <t>Order ORD-20260509-143813 via Flipkart</t>
  </si>
  <si>
    <t>MOV-20260509-162157-001</t>
  </si>
  <si>
    <t>Order ORD-20260509-162157 via Flipkart</t>
  </si>
  <si>
    <t>ORD-20260509-162157</t>
  </si>
  <si>
    <t>MOV-20260509162213-STAT</t>
  </si>
  <si>
    <t>STATUS_CHANGE</t>
  </si>
  <si>
    <t>Order ORD-20260509-162157: Confirmed → Shipped</t>
  </si>
  <si>
    <t>MOV-20260509162230-STAT</t>
  </si>
  <si>
    <t>Order ORD-20260509-162157: Shipped → Out for Delivery</t>
  </si>
  <si>
    <t>MOV-20260509162250-STAT</t>
  </si>
  <si>
    <t>Order ORD-20260509-162157: Out for Delivery → Delivered</t>
  </si>
  <si>
    <t>MOV-20260511115117-000</t>
  </si>
  <si>
    <t>return from customer</t>
  </si>
  <si>
    <t>MOV-20260511115314-000</t>
  </si>
  <si>
    <t>MOV-20260511115345-000</t>
  </si>
  <si>
    <t>in exchange of size</t>
  </si>
  <si>
    <t>MOV-20260511120213-000</t>
  </si>
  <si>
    <t>order</t>
  </si>
  <si>
    <t>MOV-20260511121601-STAT</t>
  </si>
  <si>
    <t>Order ORD-20260509-162157: Delivered → Returned</t>
  </si>
  <si>
    <t>MOV-20260511185721-STAT</t>
  </si>
  <si>
    <t>Order ORD-20260509-143813: Out for Delivery → Delivered</t>
  </si>
  <si>
    <t>MOV-20260514124405-REQ-1-3XL</t>
  </si>
  <si>
    <t>Requisition VH-2026-05 (final) · Master: AMAN</t>
  </si>
  <si>
    <t>VH-2026-05</t>
  </si>
  <si>
    <t>MOV-20260514142304-000</t>
  </si>
  <si>
    <t>Restock</t>
  </si>
  <si>
    <t>MOV-20260514142304-001</t>
  </si>
  <si>
    <t>MOV-20260514142304-002</t>
  </si>
  <si>
    <t>MOV-20260514142304-003</t>
  </si>
  <si>
    <t>MOV-20260514142304-004</t>
  </si>
  <si>
    <t>MOV-20260514142304-005</t>
  </si>
  <si>
    <t>MOV-20260514142513-000</t>
  </si>
  <si>
    <t>Testing</t>
  </si>
  <si>
    <t>MOV-20260514142513-001</t>
  </si>
  <si>
    <t>MOV-20260514142513-002</t>
  </si>
  <si>
    <t>MOV-20260514142513-003</t>
  </si>
  <si>
    <t>MOV-20260514142513-004</t>
  </si>
  <si>
    <t>MOV-20260514142513-005</t>
  </si>
  <si>
    <t>MOV-20260514150553-000</t>
  </si>
  <si>
    <t>MOV-20260514150553-001</t>
  </si>
  <si>
    <t>MOV-20260514150553-002</t>
  </si>
  <si>
    <t>MOV-20260514150553-003</t>
  </si>
  <si>
    <t>MOV-20260514150553-004</t>
  </si>
  <si>
    <t>MOV-20260514150553-005</t>
  </si>
  <si>
    <t>MOV-20260515171325-STAT</t>
  </si>
  <si>
    <t>Order ORD-20260507-171933: Confirmed → Shipped</t>
  </si>
  <si>
    <t>MOV-20260529140116-000</t>
  </si>
  <si>
    <t>MOV-20260529140116-002</t>
  </si>
  <si>
    <t>MOV-20260530-101027-001</t>
  </si>
  <si>
    <t>Order ORD-20260530-101027 via Shopify</t>
  </si>
  <si>
    <t>MOV-20260603-180257-001</t>
  </si>
  <si>
    <t>Order ORD-20260603-180257 via Shopify</t>
  </si>
  <si>
    <t>MOV-20260603185225-STAT</t>
  </si>
  <si>
    <t>Order ORD-20260507-171933: Shipped → Out for Delivery</t>
  </si>
  <si>
    <t>MOV-20260606-173918-001</t>
  </si>
  <si>
    <t>Order ORD-20260606-173918 via Shopify</t>
  </si>
  <si>
    <t>MOV-20260606-173918-002</t>
  </si>
  <si>
    <t>MOV-20260608153350-000</t>
  </si>
  <si>
    <t>restock</t>
  </si>
  <si>
    <t>MOV-20260608153907-000</t>
  </si>
  <si>
    <t>PHYSICAL STOCK COUNT</t>
  </si>
  <si>
    <t>MOV-20260608153907-001</t>
  </si>
  <si>
    <t>MOV-20260609121216-000</t>
  </si>
  <si>
    <t>RETURN FROM FLIPKART</t>
  </si>
  <si>
    <t>MOV-20260609-121543-001</t>
  </si>
  <si>
    <t>Order ORD-20260609-121543 via Flipkart</t>
  </si>
  <si>
    <t>MOV-20260609134824-STAT</t>
  </si>
  <si>
    <t>Order ORD-20260609-121543: Out for Delivery → Delivered</t>
  </si>
  <si>
    <t>MOV-20260609143851-STAT</t>
  </si>
  <si>
    <t>Order ORD-20260507-171933: Out for Delivery → Delivered</t>
  </si>
  <si>
    <t>MOV-20260611-155736-001</t>
  </si>
  <si>
    <t>Order ORD-20260611-155736 via Flipkart</t>
  </si>
  <si>
    <t>ORD-20260611-155736</t>
  </si>
  <si>
    <t>MOV-20260611-155736-002</t>
  </si>
  <si>
    <t>MOV-20260611-160606-001</t>
  </si>
  <si>
    <t>Cancelled order ORD-20260611-155736</t>
  </si>
  <si>
    <t>MOV-20260611-160606-002</t>
  </si>
  <si>
    <t>MOV-20260615-124638-001</t>
  </si>
  <si>
    <t>Order ORD-20260615-124638 via Shopify</t>
  </si>
  <si>
    <t>MOV-20260615-124638-002</t>
  </si>
  <si>
    <t>MOV-20260619124428-STAT</t>
  </si>
  <si>
    <t>Order ORD-20260615-124638: Out for Delivery → Delivered</t>
  </si>
  <si>
    <t>MOV-20260629160058-NP-M</t>
  </si>
  <si>
    <t>NEW_PRODUCT</t>
  </si>
  <si>
    <t>New product added: PLAY PRINT SHIRT</t>
  </si>
  <si>
    <t>MOV-20260629160058-NP-L</t>
  </si>
  <si>
    <t>MOV-20260629160058-NP-XL</t>
  </si>
  <si>
    <t>MOV-20260629160058-NP-2XL</t>
  </si>
  <si>
    <t>MOV-20260629160330-000</t>
  </si>
  <si>
    <t>DEFECTIVE PIECE</t>
  </si>
  <si>
    <t>MOV-20260629160816-NP-M</t>
  </si>
  <si>
    <t>New product added: ITALIAN PRINTED</t>
  </si>
  <si>
    <t>MOV-20260629160816-NP-L</t>
  </si>
  <si>
    <t>MOV-20260629160816-NP-XL</t>
  </si>
  <si>
    <t>MOV-20260629160816-NP-2XL</t>
  </si>
  <si>
    <t>MOV-20260629160918-NP-M</t>
  </si>
  <si>
    <t>New product added: LUXRY LINEN</t>
  </si>
  <si>
    <t>MOV-20260629160918-NP-L</t>
  </si>
  <si>
    <t>MOV-20260629160918-NP-XL</t>
  </si>
  <si>
    <t>MOV-20260629160918-NP-2XL</t>
  </si>
  <si>
    <t>MOV-20260629161227-NP-M</t>
  </si>
  <si>
    <t>New product added: ITALIAN D15A</t>
  </si>
  <si>
    <t>MOV-20260629161227-NP-L</t>
  </si>
  <si>
    <t>MOV-20260629161227-NP-XL</t>
  </si>
  <si>
    <t>MOV-20260629161227-NP-2XL</t>
  </si>
  <si>
    <t>MOV-20260629162839-NP-M</t>
  </si>
  <si>
    <t>New product added: COAL B222A</t>
  </si>
  <si>
    <t>MOV-20260629162839-NP-L</t>
  </si>
  <si>
    <t>MOV-20260629162839-NP-XL</t>
  </si>
  <si>
    <t>MOV-20260629162839-NP-2XL</t>
  </si>
  <si>
    <t>MOV-20260629163255-NP-M</t>
  </si>
  <si>
    <t>New product added: LUXRY LINEN 04</t>
  </si>
  <si>
    <t>MOV-20260629163255-NP-L</t>
  </si>
  <si>
    <t>MOV-20260629163255-NP-XL</t>
  </si>
  <si>
    <t>MOV-20260629163255-NP-2XL</t>
  </si>
  <si>
    <t>MOV-20260629163557-NP-M</t>
  </si>
  <si>
    <t>New product added: LUXRY LINEN 09</t>
  </si>
  <si>
    <t>MOV-20260629163557-NP-L</t>
  </si>
  <si>
    <t>MOV-20260629163557-NP-XL</t>
  </si>
  <si>
    <t>MOV-20260629163557-NP-2XL</t>
  </si>
  <si>
    <t>MOV-20260629170634-NP-M</t>
  </si>
  <si>
    <t>New product added: COAL C 172</t>
  </si>
  <si>
    <t>MOV-20260629170634-NP-L</t>
  </si>
  <si>
    <t>MOV-20260629170634-NP-XL</t>
  </si>
  <si>
    <t>MOV-20260629170634-NP-2XL</t>
  </si>
  <si>
    <t>MOV-20260629170832-NP-L</t>
  </si>
  <si>
    <t>New product added: PLAY D 25A</t>
  </si>
  <si>
    <t>MOV-20260629170832-NP-XL</t>
  </si>
  <si>
    <t>MOV-20260629170832-NP-2XL</t>
  </si>
  <si>
    <t>MOV-20260629170925-NP-M</t>
  </si>
  <si>
    <t>New product added: CANVAS 336 A</t>
  </si>
  <si>
    <t>MOV-20260629170925-NP-L</t>
  </si>
  <si>
    <t>MOV-20260629170925-NP-XL</t>
  </si>
  <si>
    <t>MOV-20260629170925-NP-2XL</t>
  </si>
  <si>
    <t>MOV-20260629173222-NP-M</t>
  </si>
  <si>
    <t>New product added: CHECKS 04</t>
  </si>
  <si>
    <t>MOV-20260629173222-NP-L</t>
  </si>
  <si>
    <t>MOV-20260629173222-NP-XL</t>
  </si>
  <si>
    <t>MOV-20260629173222-NP-2XL</t>
  </si>
  <si>
    <t>MOV-20260629173426-NP-M</t>
  </si>
  <si>
    <t>New product added: LUXRY LINEN 12</t>
  </si>
  <si>
    <t>MOV-20260629173426-NP-L</t>
  </si>
  <si>
    <t>MOV-20260629173426-NP-XL</t>
  </si>
  <si>
    <t>MOV-20260629173426-NP-2XL</t>
  </si>
  <si>
    <t>Vendor No</t>
  </si>
  <si>
    <t>Name</t>
  </si>
  <si>
    <t>Contact</t>
  </si>
  <si>
    <t>Phone</t>
  </si>
  <si>
    <t>City</t>
  </si>
  <si>
    <t>GST</t>
  </si>
  <si>
    <t>Terms</t>
  </si>
  <si>
    <t>Status</t>
  </si>
  <si>
    <t>Notes</t>
  </si>
  <si>
    <t>Created</t>
  </si>
  <si>
    <t>V-4</t>
  </si>
  <si>
    <t>Sharma Apparels</t>
  </si>
  <si>
    <t>Rahul Sharma</t>
  </si>
  <si>
    <t>+91 98200 11122</t>
  </si>
  <si>
    <t>Tirupur</t>
  </si>
  <si>
    <t>33ABCDE1234F1Z5</t>
  </si>
  <si>
    <t>30 days</t>
  </si>
  <si>
    <t>Active</t>
  </si>
  <si>
    <t>Reliable on round-neck bulk</t>
  </si>
  <si>
    <t>V-5</t>
  </si>
  <si>
    <t>Crown Knitwear</t>
  </si>
  <si>
    <t>Imran Qureshi</t>
  </si>
  <si>
    <t>+91 99300 44556</t>
  </si>
  <si>
    <t>Ludhiana</t>
  </si>
  <si>
    <t>03MNOPQ6789K2Z1</t>
  </si>
  <si>
    <t>Advance 50%</t>
  </si>
  <si>
    <t>Best for oversized</t>
  </si>
  <si>
    <t>V-6</t>
  </si>
  <si>
    <t>Metro Garments</t>
  </si>
  <si>
    <t>Priya Nair</t>
  </si>
  <si>
    <t>+91 90040 78901</t>
  </si>
  <si>
    <t>Mumbai</t>
  </si>
  <si>
    <t>27RSTUV3456L3Z9</t>
  </si>
  <si>
    <t>15 days</t>
  </si>
  <si>
    <t>Req No</t>
  </si>
  <si>
    <t>Date</t>
  </si>
  <si>
    <t>Design</t>
  </si>
  <si>
    <t>Style</t>
  </si>
  <si>
    <t>Color</t>
  </si>
  <si>
    <t>SKU</t>
  </si>
  <si>
    <t>Req Status</t>
  </si>
  <si>
    <t>Vendor</t>
  </si>
  <si>
    <t>Sample Received</t>
  </si>
  <si>
    <t>Sample Rating</t>
  </si>
  <si>
    <t>Sample Remark</t>
  </si>
  <si>
    <t>Rate</t>
  </si>
  <si>
    <t>MOQ</t>
  </si>
  <si>
    <t>Lead Days</t>
  </si>
  <si>
    <t>Quote Status</t>
  </si>
  <si>
    <t>Approved</t>
  </si>
  <si>
    <t>Approved By</t>
  </si>
  <si>
    <t>Approved Date</t>
  </si>
  <si>
    <t>PO No</t>
  </si>
  <si>
    <t>Line Value</t>
  </si>
  <si>
    <t>Rec S</t>
  </si>
  <si>
    <t>Rec M</t>
  </si>
  <si>
    <t>Rec L</t>
  </si>
  <si>
    <t>Rec XL</t>
  </si>
  <si>
    <t>Rec 2XL</t>
  </si>
  <si>
    <t>Rec 3XL</t>
  </si>
  <si>
    <t>PO Status</t>
  </si>
  <si>
    <t>Image</t>
  </si>
  <si>
    <t>Product Name</t>
  </si>
  <si>
    <t>In Hand</t>
  </si>
  <si>
    <t>https://drive.google.com/thumbnail?id=1HEeJN6gMGKQevtZ9nqSd56JJmJ_8hyU-&amp;sz=w1000</t>
  </si>
  <si>
    <t>TEE-SKULL-RN-BLK</t>
  </si>
  <si>
    <t>Skull Print Round Neck</t>
  </si>
  <si>
    <t>Skull Print</t>
  </si>
  <si>
    <t>Round Neck</t>
  </si>
  <si>
    <t>Black</t>
  </si>
  <si>
    <t>TEE-SKULL-RN-WHT</t>
  </si>
  <si>
    <t>White</t>
  </si>
  <si>
    <t>TEE-WAVE-OS-NVY</t>
  </si>
  <si>
    <t>Wave Oversized</t>
  </si>
  <si>
    <t>Wave</t>
  </si>
  <si>
    <t>Oversized</t>
  </si>
  <si>
    <t>Navy</t>
  </si>
  <si>
    <t>TEE-WAVE-OS-BLK</t>
  </si>
  <si>
    <t>https://drive.google.com/thumbnail?id=1OXjyNasKCAD_WoEmhje-KLzzZ0WVE8c5&amp;sz=w1000</t>
  </si>
  <si>
    <t>TEE-MTN-RN-OLV</t>
  </si>
  <si>
    <t>Mountain Round Neck</t>
  </si>
  <si>
    <t>Mountain</t>
  </si>
  <si>
    <t>Olive</t>
  </si>
  <si>
    <t>https://drive.google.com/thumbnail?id=1R8z97b1CzINWdjq19YIx-Qq6fuclJ8bW&amp;sz=w1000</t>
  </si>
  <si>
    <t>TEE-PLAIN-PL-BLK</t>
  </si>
  <si>
    <t>Plain Polo</t>
  </si>
  <si>
    <t>Plain</t>
  </si>
  <si>
    <t>Polo</t>
  </si>
  <si>
    <t>https://drive.google.com/thumbnail?id=1aHTym5qcBPZEbEFtHbvlEIe9H2FOAlGG&amp;sz=w1000</t>
  </si>
  <si>
    <t>TEE-PLAIN-PL-WHT</t>
  </si>
  <si>
    <t>Order No</t>
  </si>
  <si>
    <t>Channel</t>
  </si>
  <si>
    <t>Buyer</t>
  </si>
  <si>
    <t>Size</t>
  </si>
  <si>
    <t>Qty</t>
  </si>
  <si>
    <t>Timestamp</t>
  </si>
  <si>
    <t>Change</t>
  </si>
  <si>
    <t>Type</t>
  </si>
  <si>
    <t>Ref</t>
  </si>
  <si>
    <t>Note</t>
  </si>
  <si>
    <t>claude</t>
  </si>
  <si>
    <t>&lt;!DOCTYPE html&gt;</t>
  </si>
  <si>
    <t>&lt;html lang="en"&gt;</t>
  </si>
  <si>
    <t>&lt;head&gt;</t>
  </si>
  <si>
    <t>&lt;base target="_top"&gt;</t>
  </si>
  <si>
    <t>&lt;meta charset="utf-8"&gt;</t>
  </si>
  <si>
    <t>&lt;link rel="preconnect" href="https://fonts.googleapis.com"&gt;</t>
  </si>
  <si>
    <t>&lt;link rel="preconnect" href="https://fonts.gstatic.com" crossorigin&gt;</t>
  </si>
  <si>
    <t>&lt;link</t>
  </si>
  <si>
    <t>href="https://fonts.googleapis.com/css2?family=Outfit:wght@300;400;500;600;700&amp;family=JetBrains+Mono:wght@400;500;600&amp;family=Fraunces:opsz,wght@9..144,500;9..144,600&amp;display=swap"</t>
  </si>
  <si>
    <t>rel="stylesheet"&gt;</t>
  </si>
  <si>
    <t>&lt;style&gt;</t>
  </si>
  <si>
    <t>/* ── VARIABLES ─────────────────────────────────── */</t>
  </si>
  <si>
    <t>:root {</t>
  </si>
  <si>
    <t>Gemini</t>
  </si>
  <si>
    <t>--sb: #111118;</t>
  </si>
  <si>
    <t>--sb2: #18181b;</t>
  </si>
  <si>
    <t>--sb-text: #a1a1aa;</t>
  </si>
  <si>
    <t>--sb-muted: #52525b;</t>
  </si>
  <si>
    <t>--sb-active: #f59e0b;</t>
  </si>
  <si>
    <t>--sb-active-bg: rgba(245, 158, 11, .12);</t>
  </si>
  <si>
    <t>--bg: #f4f4f0;</t>
  </si>
  <si>
    <t>&lt;meta name="viewport" content="width=device-width, initial-scale=1"&gt;</t>
  </si>
  <si>
    <t>--surface: #fff;</t>
  </si>
  <si>
    <t>--surface2: #fafaf8;</t>
  </si>
  <si>
    <t>--border: #e4e4e0;</t>
  </si>
  <si>
    <t>&lt;link href="https://fonts.googleapis.com/css2?family=Inter:wght@400;500;600;700&amp;family=Outfit:wght@400;500;600;700&amp;family=JetBrains+Mono:wght@400;500;600;700&amp;display=swap" rel="stylesheet"&gt;</t>
  </si>
  <si>
    <t>--border2: #d4d4cc;</t>
  </si>
  <si>
    <t>--ink: #18181b;</t>
  </si>
  <si>
    <t>/* ── HIGH-END VARIABLES ─────────────────────────────────── */</t>
  </si>
  <si>
    <t>--ink2: #3f3f46;</t>
  </si>
  <si>
    <t>--muted: #71717a;</t>
  </si>
  <si>
    <t>/* Premium Dark Slate Sidebar */</t>
  </si>
  <si>
    <t>--amber: #d97706;</t>
  </si>
  <si>
    <t>--sb: #09090b;</t>
  </si>
  <si>
    <t>--amber-s: #fef3c7;</t>
  </si>
  <si>
    <t>--amber-l: #fffbeb;</t>
  </si>
  <si>
    <t>--blue: #1d4ed8;</t>
  </si>
  <si>
    <t>--sb-muted: #71717a;</t>
  </si>
  <si>
    <t>--blue-s: #dbeafe;</t>
  </si>
  <si>
    <t>--sb-active: #ffffff;</t>
  </si>
  <si>
    <t>--green: #166534;</t>
  </si>
  <si>
    <t>--sb-active-bg: #27272a;</t>
  </si>
  <si>
    <t>--green-s: #dcfce7;</t>
  </si>
  <si>
    <t>--red: #991b1b;</t>
  </si>
  <si>
    <t>/* Modern App Theme */</t>
  </si>
  <si>
    <t>--red-s: #fee2e2;</t>
  </si>
  <si>
    <t>--bg: #f8fafc;</t>
  </si>
  <si>
    <t>--orange: #c2410c;</t>
  </si>
  <si>
    <t>--surface: #ffffff;</t>
  </si>
  <si>
    <t>--orange-s: #ffedd5;</t>
  </si>
  <si>
    <t>--surface2: #f1f5f9;</t>
  </si>
  <si>
    <t>--purple: #5b21b6;</t>
  </si>
  <si>
    <t>--surface-hover: #f8fafc;</t>
  </si>
  <si>
    <t>--purple-s: #ede9fe;</t>
  </si>
  <si>
    <t>--border: #e2e8f0;</t>
  </si>
  <si>
    <t>--r: 6px;</t>
  </si>
  <si>
    <t>--border2: #cbd5e1;</t>
  </si>
  <si>
    <t>--r2: 10px;</t>
  </si>
  <si>
    <t>--shadow-sm: 0 1px 2px rgba(0, 0, 0, .06);</t>
  </si>
  <si>
    <t>/* Typography */</t>
  </si>
  <si>
    <t>--shadow: 0 1px 3px rgba(0, 0, 0, .08), 0 1px 2px rgba(0, 0, 0, .04);</t>
  </si>
  <si>
    <t>--ink: #0f172a;</t>
  </si>
  <si>
    <t>--shadow-md: 0 4px 12px rgba(0, 0, 0, .08), 0 2px 4px rgba(0, 0, 0, .04);</t>
  </si>
  <si>
    <t>--ink2: #334155;</t>
  </si>
  <si>
    <t>--sidebar-w: 232px;</t>
  </si>
  <si>
    <t>--muted: #64748b;</t>
  </si>
  <si>
    <t>}</t>
  </si>
  <si>
    <t>/* Semantic Colors - Vibrant but refined */</t>
  </si>
  <si>
    <t>* {</t>
  </si>
  <si>
    <t>--amber: #f59e0b;</t>
  </si>
  <si>
    <t>box-sizing: border-box;</t>
  </si>
  <si>
    <t>margin: 0;</t>
  </si>
  <si>
    <t>padding: 0;</t>
  </si>
  <si>
    <t>--blue: #2563eb;</t>
  </si>
  <si>
    <t>--green: #10b981;</t>
  </si>
  <si>
    <t>html,</t>
  </si>
  <si>
    <t>--green-s: #d1fae5;</t>
  </si>
  <si>
    <t>body {</t>
  </si>
  <si>
    <t>--red: #ef4444;</t>
  </si>
  <si>
    <t>height: 100%;</t>
  </si>
  <si>
    <t>font-family: 'Outfit', system-ui, sans-serif;</t>
  </si>
  <si>
    <t>--orange: #f97316;</t>
  </si>
  <si>
    <t>font-size: 14px;</t>
  </si>
  <si>
    <t>background: var(--bg);</t>
  </si>
  <si>
    <t>--purple: #8b5cf6;</t>
  </si>
  <si>
    <t>color: var(--ink);</t>
  </si>
  <si>
    <t>line-height: 1.5;</t>
  </si>
  <si>
    <t>-webkit-font-smoothing: antialiased;</t>
  </si>
  <si>
    <t>/* Radii &amp; Shadows */</t>
  </si>
  <si>
    <t>--r: 8px;</t>
  </si>
  <si>
    <t>--r2: 16px;</t>
  </si>
  <si>
    <t>.mono {</t>
  </si>
  <si>
    <t>--r-pill: 9999px;</t>
  </si>
  <si>
    <t>font-family: 'JetBrains Mono', ui-monospace, monospace;</t>
  </si>
  <si>
    <t>--shadow-xs: 0 1px 2px rgba(15, 23, 42, 0.04);</t>
  </si>
  <si>
    <t>--shadow-sm: 0 4px 6px -1px rgba(15, 23, 42, 0.05), 0 2px 4px -1px rgba(15, 23, 42, 0.03);</t>
  </si>
  <si>
    <t>--shadow-md: 0 10px 15px -3px rgba(15, 23, 42, 0.08), 0 4px 6px -2px rgba(15, 23, 42, 0.04);</t>
  </si>
  <si>
    <t>b,</t>
  </si>
  <si>
    <t>--shadow-floating: 0 20px 25px -5px rgba(15, 23, 42, 0.1), 0 10px 10px -5px rgba(15, 23, 42, 0.04);</t>
  </si>
  <si>
    <t>.bold {</t>
  </si>
  <si>
    <t>font-weight: 600;</t>
  </si>
  <si>
    <t>--sidebar-w: 250px;</t>
  </si>
  <si>
    <t>--trans: all 0.2s cubic-bezier(0.16, 1, 0.3, 1);</t>
  </si>
  <si>
    <t>/* ── SHELL ─────────────────────────────────────── */</t>
  </si>
  <si>
    <t>.shell {</t>
  </si>
  <si>
    <t>/* ── ANIMATIONS ─────────────────────────────────── */</t>
  </si>
  <si>
    <t>display: flex;</t>
  </si>
  <si>
    <t>@keyframes slideUpFade {</t>
  </si>
  <si>
    <t>height: 100vh;</t>
  </si>
  <si>
    <t>0% { opacity: 0; transform: translateY(10px); }</t>
  </si>
  <si>
    <t>100% { opacity: 1; transform: translateY(0); }</t>
  </si>
  <si>
    <t>.main-wrap {</t>
  </si>
  <si>
    <t>.fade-in { animation: slideUpFade 0.4s cubic-bezier(0.16, 1, 0.3, 1) forwards; }</t>
  </si>
  <si>
    <t>flex: 1;</t>
  </si>
  <si>
    <t>@keyframes spin { to { transform: rotate(360deg); } }</t>
  </si>
  <si>
    <t>flex-direction: column;</t>
  </si>
  <si>
    <t>@keyframes pulse-dot {</t>
  </si>
  <si>
    <t>min-width: 0;</t>
  </si>
  <si>
    <t>0%, 100% { opacity: 1; transform: scale(1); }</t>
  </si>
  <si>
    <t>min-height: 0;</t>
  </si>
  <si>
    <t>50% { opacity: 0.5; transform: scale(0.8); }</t>
  </si>
  <si>
    <t>.content {</t>
  </si>
  <si>
    <t>* { box-sizing: border-box; margin: 0; padding: 0; }</t>
  </si>
  <si>
    <t>html, body {</t>
  </si>
  <si>
    <t>overflow-y: auto;</t>
  </si>
  <si>
    <t>overflow-x: hidden;</t>
  </si>
  <si>
    <t>font-family: 'Inter', system-ui, sans-serif;</t>
  </si>
  <si>
    <t>padding: 24px 28px 48px;</t>
  </si>
  <si>
    <t>-webkit-overflow-scrolling: touch;</t>
  </si>
  <si>
    <t>scroll-behavior: smooth;</t>
  </si>
  <si>
    <t>line-height: 1.1;</t>
  </si>
  <si>
    <t>/* ── SIDEBAR ───────────────────────────────────── */</t>
  </si>
  <si>
    <t>-moz-osx-font-smoothing: grayscale;</t>
  </si>
  <si>
    <t>.sidebar {</t>
  </si>
  <si>
    <t>width: var(--sidebar-w);</t>
  </si>
  <si>
    <t>background: var(--sb);</t>
  </si>
  <si>
    <t>h1, h2, h3, h4, .title-font, .tb-title, .card-title, .pb-name { font-family: 'Outfit', sans-serif; letter-spacing: -0.01em; }</t>
  </si>
  <si>
    <t>.mono { font-family: 'JetBrains Mono', ui-monospace, monospace; }</t>
  </si>
  <si>
    <t>b, .bold { font-weight: 600; }</t>
  </si>
  <si>
    <t>flex-shrink: 0;</t>
  </si>
  <si>
    <t>overflow: hidden;</t>
  </si>
  <si>
    <t>/* ── SHELL &amp; LAYOUT ─────────────────────────────────────── */</t>
  </si>
  <si>
    <t>transition: transform .2s;</t>
  </si>
  <si>
    <t>.shell { display: flex; height: 100vh; overflow: hidden; }</t>
  </si>
  <si>
    <t>.main-wrap { flex: 1; display: flex; flex-direction: column; min-width: 0; position: relative; }</t>
  </si>
  <si>
    <t>.sb-brand {</t>
  </si>
  <si>
    <t>padding: 22px 20px 18px;</t>
  </si>
  <si>
    <t>border-bottom: 1px solid rgba(255, 255, 255, .06);</t>
  </si>
  <si>
    <t>padding: 32px 40px 64px;</t>
  </si>
  <si>
    <t>.sb-logo {</t>
  </si>
  <si>
    <t>font-family: 'Fraunces', serif;</t>
  </si>
  <si>
    <t>font-size: 18px;</t>
  </si>
  <si>
    <t>color: #fff;</t>
  </si>
  <si>
    <t>letter-spacing: -.01em;</t>
  </si>
  <si>
    <t>align-items: center;</t>
  </si>
  <si>
    <t>gap: 8px;</t>
  </si>
  <si>
    <t>transition: transform 0.3s cubic-bezier(0.16, 1, 0.3, 1);</t>
  </si>
  <si>
    <t>border-right: 1px solid rgba(255,255,255,0.05);</t>
  </si>
  <si>
    <t>.sb-logo::before {</t>
  </si>
  <si>
    <t>z-index: 10;</t>
  </si>
  <si>
    <t>content: '';</t>
  </si>
  <si>
    <t>width: 8px;</t>
  </si>
  <si>
    <t>height: 8px;</t>
  </si>
  <si>
    <t>background: var(--sb-active);</t>
  </si>
  <si>
    <t>padding: 28px 24px 24px;</t>
  </si>
  <si>
    <t>border-radius: 50%;</t>
  </si>
  <si>
    <t>font-family: 'Outfit', sans-serif;</t>
  </si>
  <si>
    <t>.sb-tagline {</t>
  </si>
  <si>
    <t>font-size: 22px;</t>
  </si>
  <si>
    <t>font-size: 10px;</t>
  </si>
  <si>
    <t>font-weight: 700;</t>
  </si>
  <si>
    <t>color: var(--sb-muted);</t>
  </si>
  <si>
    <t>text-transform: uppercase;</t>
  </si>
  <si>
    <t>letter-spacing: -0.02em;</t>
  </si>
  <si>
    <t>letter-spacing: .12em;</t>
  </si>
  <si>
    <t>margin-top: 3px;</t>
  </si>
  <si>
    <t>padding-left: 16px;</t>
  </si>
  <si>
    <t>gap: 10px;</t>
  </si>
  <si>
    <t>font-family: 'JetBrains Mono', monospace;</t>
  </si>
  <si>
    <t>.sb-nav {</t>
  </si>
  <si>
    <t>width: 10px;</t>
  </si>
  <si>
    <t>padding: 12px 10px;</t>
  </si>
  <si>
    <t>height: 10px;</t>
  </si>
  <si>
    <t>background: linear-gradient(135deg, var(--blue), #818cf8);</t>
  </si>
  <si>
    <t>box-shadow: 0 0 10px rgba(56, 189, 248, 0.4);</t>
  </si>
  <si>
    <t>.sb-section {</t>
  </si>
  <si>
    <t>font-size: 11px;</t>
  </si>
  <si>
    <t>padding: 10px 10px 6px;</t>
  </si>
  <si>
    <t>letter-spacing: 0.15em;</t>
  </si>
  <si>
    <t>margin-top: 8px;</t>
  </si>
  <si>
    <t>padding-left: 20px;</t>
  </si>
  <si>
    <t>.sb-item {</t>
  </si>
  <si>
    <t>padding: 9px 10px;</t>
  </si>
  <si>
    <t>padding: 12px 16px;</t>
  </si>
  <si>
    <t>border-radius: var(--r);</t>
  </si>
  <si>
    <t>cursor: pointer;</t>
  </si>
  <si>
    <t>color: var(--sb-text);</t>
  </si>
  <si>
    <t>font-size: 13px;</t>
  </si>
  <si>
    <t>font-weight: 500;</t>
  </si>
  <si>
    <t>transition: all .15s;</t>
  </si>
  <si>
    <t>margin-bottom: 2px;</t>
  </si>
  <si>
    <t>user-select: none;</t>
  </si>
  <si>
    <t>letter-spacing: 0.1em;</t>
  </si>
  <si>
    <t>padding: 16px 12px 8px;</t>
  </si>
  <si>
    <t>.sb-item:hover {</t>
  </si>
  <si>
    <t>background: var(--sb2);</t>
  </si>
  <si>
    <t>color: #e4e4e7;</t>
  </si>
  <si>
    <t>.sb-item.active {</t>
  </si>
  <si>
    <t>gap: 12px;</t>
  </si>
  <si>
    <t>background: var(--sb-active-bg);</t>
  </si>
  <si>
    <t>padding: 10px 14px;</t>
  </si>
  <si>
    <t>color: var(--sb-active);</t>
  </si>
  <si>
    <t>.sb-item svg {</t>
  </si>
  <si>
    <t>font-size: 13.5px;</t>
  </si>
  <si>
    <t>width: 16px;</t>
  </si>
  <si>
    <t>height: 16px;</t>
  </si>
  <si>
    <t>transition: var(--trans);</t>
  </si>
  <si>
    <t>margin-bottom: 4px;</t>
  </si>
  <si>
    <t>stroke-width: 1.75;</t>
  </si>
  <si>
    <t>opacity: .8;</t>
  </si>
  <si>
    <t>.sb-item:hover { background: var(--sb2); color: #fff; }</t>
  </si>
  <si>
    <t>.sb-item.active svg {</t>
  </si>
  <si>
    <t>.sb-item.active { background: var(--sb-active-bg); color: var(--sb-active); font-weight: 600; }</t>
  </si>
  <si>
    <t>opacity: 1;</t>
  </si>
  <si>
    <t>.sb-item svg { width: 18px; height: 18px; stroke-width: 1.75; opacity: 0.7; transition: var(--trans); }</t>
  </si>
  <si>
    <t>.sb-item:hover svg, .sb-item.active svg { opacity: 1; }</t>
  </si>
  <si>
    <t>.sb-item .badge-count {</t>
  </si>
  <si>
    <t>margin-left: auto;</t>
  </si>
  <si>
    <t>.sb-footer {</t>
  </si>
  <si>
    <t>padding: 20px;</t>
  </si>
  <si>
    <t>color: #000;</t>
  </si>
  <si>
    <t>border-top: 1px solid rgba(255,255,255,0.05);</t>
  </si>
  <si>
    <t>padding: 1px 6px;</t>
  </si>
  <si>
    <t>border-radius: 999px;</t>
  </si>
  <si>
    <t>.sb-user { display: flex; align-items: center; gap: 12px; }</t>
  </si>
  <si>
    <t>.sb-avatar {</t>
  </si>
  <si>
    <t>width: 34px; height: 34px;</t>
  </si>
  <si>
    <t>border-radius: var(--r-pill);</t>
  </si>
  <si>
    <t>padding: 14px 14px 18px;</t>
  </si>
  <si>
    <t>background: linear-gradient(135deg, var(--blue), var(--purple));</t>
  </si>
  <si>
    <t>border-top: 1px solid rgba(255, 255, 255, .06);</t>
  </si>
  <si>
    <t>display: flex; align-items: center; justify-content: center;</t>
  </si>
  <si>
    <t>font-size: 13px; font-weight: 700; color: #fff;</t>
  </si>
  <si>
    <t>.sb-user {</t>
  </si>
  <si>
    <t>.sb-email { font-size: 12px; color: #fff; font-weight: 500; white-space: nowrap; overflow: hidden; text-overflow: ellipsis; }</t>
  </si>
  <si>
    <t>.sb-sync { font-size: 11px; color: var(--sb-muted); margin-top: 2px; display: flex; align-items: center; gap: 6px; }</t>
  </si>
  <si>
    <t>.sb-sync .dot { width: 6px; height: 6px; border-radius: 50%; background: var(--green); animation: pulse-dot 2s infinite; }</t>
  </si>
  <si>
    <t>/* ── TOPBAR ────────────────────────────────────── */</t>
  </si>
  <si>
    <t>.topbar {</t>
  </si>
  <si>
    <t>background: rgba(255, 255, 255, 0.85);</t>
  </si>
  <si>
    <t>width: 28px;</t>
  </si>
  <si>
    <t>backdrop-filter: blur(12px);</t>
  </si>
  <si>
    <t>height: 28px;</t>
  </si>
  <si>
    <t>border-bottom: 1px solid var(--border);</t>
  </si>
  <si>
    <t>padding: 0 40px;</t>
  </si>
  <si>
    <t>height: 70px;</t>
  </si>
  <si>
    <t>display: flex; align-items: center; justify-content: space-between;</t>
  </si>
  <si>
    <t>position: sticky; top: 0; z-index: 50;</t>
  </si>
  <si>
    <t>justify-content: center;</t>
  </si>
  <si>
    <t>.tb-title { font-size: 22px; font-weight: 600; color: var(--ink); }</t>
  </si>
  <si>
    <t>.tb-sub { font-size: 13px; color: var(--muted); margin-top: 2px; font-weight: 400; }</t>
  </si>
  <si>
    <t>/* ── BUTTONS ───────────────────────────────────── */</t>
  </si>
  <si>
    <t>.btn {</t>
  </si>
  <si>
    <t>.sb-email {</t>
  </si>
  <si>
    <t>font-family: 'Inter', sans-serif;</t>
  </si>
  <si>
    <t>font-size: 13px; font-weight: 600;</t>
  </si>
  <si>
    <t>padding: 8px 16px;</t>
  </si>
  <si>
    <t>white-space: nowrap;</t>
  </si>
  <si>
    <t>border: 1px solid transparent; border-radius: var(--r);</t>
  </si>
  <si>
    <t>cursor: pointer; display: inline-flex; align-items: center; gap: 8px;</t>
  </si>
  <si>
    <t>text-overflow: ellipsis;</t>
  </si>
  <si>
    <t>transition: var(--trans); white-space: nowrap;</t>
  </si>
  <si>
    <t>box-shadow: var(--shadow-xs);</t>
  </si>
  <si>
    <t>.btn:active { transform: scale(0.97); }</t>
  </si>
  <si>
    <t>.sb-sync {</t>
  </si>
  <si>
    <t>.btn svg { width: 16px; height: 16px; stroke-width: 2; }</t>
  </si>
  <si>
    <t>.btn-primary { background: var(--ink); color: #fff; box-shadow: 0 4px 10px rgba(0,0,0,0.1); }</t>
  </si>
  <si>
    <t>margin-top: 2px;</t>
  </si>
  <si>
    <t>.btn-primary:hover { background: var(--ink2); box-shadow: 0 6px 14px rgba(0,0,0,0.15); transform: translateY(-1px); }</t>
  </si>
  <si>
    <t>.btn-secondary { background: var(--surface); color: var(--ink); border-color: var(--border2); }</t>
  </si>
  <si>
    <t>.sb-sync .dot {</t>
  </si>
  <si>
    <t>.btn-secondary:hover { background: var(--surface2); border-color: var(--muted); }</t>
  </si>
  <si>
    <t>width: 6px;</t>
  </si>
  <si>
    <t>height: 6px;</t>
  </si>
  <si>
    <t>.btn-amber { background: var(--amber); color: #fff; }</t>
  </si>
  <si>
    <t>.btn-amber:hover { background: #d97706; }</t>
  </si>
  <si>
    <t>background: #22c55e;</t>
  </si>
  <si>
    <t>display: inline-block;</t>
  </si>
  <si>
    <t>.btn-success { background: var(--green); color: #fff; }</t>
  </si>
  <si>
    <t>margin-right: 4px;</t>
  </si>
  <si>
    <t>.btn-success:hover { background: #059669; }</t>
  </si>
  <si>
    <t>animation: pulse2 2s infinite;</t>
  </si>
  <si>
    <t>.btn-danger-soft { background: var(--red-s); color: var(--red); border-color: transparent; box-shadow: none; }</t>
  </si>
  <si>
    <t>.btn-danger-soft:hover { background: #fecaca; }</t>
  </si>
  <si>
    <t>@keyframes pulse2 {</t>
  </si>
  <si>
    <t>.btn-ghost { background: transparent; color: var(--muted); box-shadow: none; }</t>
  </si>
  <si>
    <t>0%,</t>
  </si>
  <si>
    <t>.btn-ghost:hover { color: var(--ink); background: var(--surface2); }</t>
  </si>
  <si>
    <t>100% {</t>
  </si>
  <si>
    <t>.btn-sm { padding: 6px 12px; font-size: 12px; }</t>
  </si>
  <si>
    <t>.btn:disabled { opacity: 0.5; cursor: not-allowed; transform: none; box-shadow: none; }</t>
  </si>
  <si>
    <t>50% {</t>
  </si>
  <si>
    <t>/* ── CARDS / PANELS ────────────────────────────── */</t>
  </si>
  <si>
    <t>opacity: .4;</t>
  </si>
  <si>
    <t>.card {</t>
  </si>
  <si>
    <t>background: var(--surface);</t>
  </si>
  <si>
    <t>border: 1px solid var(--border);</t>
  </si>
  <si>
    <t>border-radius: var(--r2);</t>
  </si>
  <si>
    <t>box-shadow: var(--shadow-sm);</t>
  </si>
  <si>
    <t>margin-bottom: 24px;</t>
  </si>
  <si>
    <t>padding: 0 28px;</t>
  </si>
  <si>
    <t>.card:hover { box-shadow: var(--shadow-md); }</t>
  </si>
  <si>
    <t>height: 56px;</t>
  </si>
  <si>
    <t>.card-hd {</t>
  </si>
  <si>
    <t>padding: 20px 24px;</t>
  </si>
  <si>
    <t>justify-content: space-between;</t>
  </si>
  <si>
    <t>gap: 16px;</t>
  </si>
  <si>
    <t>display: flex; align-items: center; justify-content: space-between; gap: 12px; flex-wrap: wrap;</t>
  </si>
  <si>
    <t>background: rgba(248, 250, 252, 0.3);</t>
  </si>
  <si>
    <t>border-radius: var(--r2) var(--r2) 0 0;</t>
  </si>
  <si>
    <t>.tb-title {</t>
  </si>
  <si>
    <t>.card-title { font-size: 16px; font-weight: 600; color: var(--ink); }</t>
  </si>
  <si>
    <t>.card-body { padding: 24px; }</t>
  </si>
  <si>
    <t>.card-body.p0 { padding: 0; }</t>
  </si>
  <si>
    <t>/* ── KPI CARDS ──────────────────────────────────── */</t>
  </si>
  <si>
    <t>.kpi-grid { display: grid; grid-template-columns: repeat(auto-fit, minmax(200px, 1fr)); gap: 20px; margin-bottom: 28px; }</t>
  </si>
  <si>
    <t>.kpi {</t>
  </si>
  <si>
    <t>.tb-sub {</t>
  </si>
  <si>
    <t>background: var(--surface); border: 1px solid var(--border);</t>
  </si>
  <si>
    <t>border-radius: var(--r2); padding: 24px; position: relative; overflow: hidden;</t>
  </si>
  <si>
    <t>color: var(--muted);</t>
  </si>
  <si>
    <t>box-shadow: var(--shadow-sm); transition: var(--trans);</t>
  </si>
  <si>
    <t>margin-top: 1px;</t>
  </si>
  <si>
    <t>.kpi:hover { transform: translateY(-2px); box-shadow: var(--shadow-md); }</t>
  </si>
  <si>
    <t>.kpi::before {</t>
  </si>
  <si>
    <t>.tb-actions {</t>
  </si>
  <si>
    <t>content: ''; position: absolute; top: 0; left: 0; right: 0; height: 4px;</t>
  </si>
  <si>
    <t>.kpi.blue::before { background: var(--blue); }</t>
  </si>
  <si>
    <t>.kpi.green::before { background: var(--green); }</t>
  </si>
  <si>
    <t>.kpi.amber::before { background: var(--amber); }</t>
  </si>
  <si>
    <t>.kpi.red::before { background: var(--red); }</t>
  </si>
  <si>
    <t>.kpi-label { font-size: 12px; font-weight: 600; text-transform: uppercase; letter-spacing: 0.05em; color: var(--muted); margin-bottom: 12px; }</t>
  </si>
  <si>
    <t>.kpi-value { font-family: 'Outfit', sans-serif; font-size: 40px; font-weight: 700; letter-spacing: -0.03em; line-height: 1; margin-bottom: 8px; color: var(--ink); }</t>
  </si>
  <si>
    <t>.kpi-value.red { color: var(--red); }</t>
  </si>
  <si>
    <t>.kpi-value.green { color: var(--green); }</t>
  </si>
  <si>
    <t>padding: 7px 14px;</t>
  </si>
  <si>
    <t>.kpi-value.amber { color: var(--amber); }</t>
  </si>
  <si>
    <t>border: 1px solid transparent;</t>
  </si>
  <si>
    <t>.kpi-sub { font-size: 12px; color: var(--muted); font-weight: 500; }</t>
  </si>
  <si>
    <t>/* ── GRIDS &amp; FORMS ──────────────────────────────── */</t>
  </si>
  <si>
    <t>display: inline-flex;</t>
  </si>
  <si>
    <t>.grid2 { display: grid; grid-template-columns: 1fr 1fr; gap: 24px; margin-bottom: 24px; }</t>
  </si>
  <si>
    <t>@media(max-width: 900px) { .grid2 { grid-template-columns: 1fr; } }</t>
  </si>
  <si>
    <t>gap: 6px;</t>
  </si>
  <si>
    <t>.slabel { font-size: 11px; font-weight: 700; text-transform: uppercase; letter-spacing: 0.08em; color: var(--muted); margin-bottom: 12px; }</t>
  </si>
  <si>
    <t>.fg { display: grid; gap: 20px; grid-template-columns: repeat(auto-fit, minmax(220px, 1fr)); }</t>
  </si>
  <si>
    <t>.field { display: flex; flex-direction: column; gap: 6px; }</t>
  </si>
  <si>
    <t>.btn svg {</t>
  </si>
  <si>
    <t>.field label { font-size: 12px; font-weight: 600; color: var(--ink2); }</t>
  </si>
  <si>
    <t>width: 14px;</t>
  </si>
  <si>
    <t>.field label .req { color: var(--red); }</t>
  </si>
  <si>
    <t>height: 14px;</t>
  </si>
  <si>
    <t>stroke-width: 2;</t>
  </si>
  <si>
    <t>input, select, textarea {</t>
  </si>
  <si>
    <t>font-family: 'Inter', sans-serif; font-size: 14px;</t>
  </si>
  <si>
    <t>padding: 10px 14px; background: var(--surface);</t>
  </si>
  <si>
    <t>.btn-primary {</t>
  </si>
  <si>
    <t>border: 1px solid var(--border2); border-radius: var(--r); color: var(--ink);</t>
  </si>
  <si>
    <t>background: var(--ink);</t>
  </si>
  <si>
    <t>transition: var(--trans); width: 100%; box-shadow: var(--shadow-xs);</t>
  </si>
  <si>
    <t>border-color: var(--ink);</t>
  </si>
  <si>
    <t>input:focus, select:focus, textarea:focus {</t>
  </si>
  <si>
    <t>outline: none; border-color: var(--blue); box-shadow: 0 0 0 3px rgba(37, 99, 235, 0.15);</t>
  </si>
  <si>
    <t>.btn-primary:hover {</t>
  </si>
  <si>
    <t>input.mono, select.mono { font-family: 'JetBrains Mono', monospace; font-size: 13px; }</t>
  </si>
  <si>
    <t>background: var(--ink2);</t>
  </si>
  <si>
    <t>textarea { resize: vertical; min-height: 80px; }</t>
  </si>
  <si>
    <t>.divider { height: 1px; background: var(--border); margin: 24px 0; }</t>
  </si>
  <si>
    <t>.btn-primary:disabled {</t>
  </si>
  <si>
    <t>opacity: .5;</t>
  </si>
  <si>
    <t>/* ── LINE ITEMS ─────────────────────────────────── */</t>
  </si>
  <si>
    <t>cursor: not-allowed;</t>
  </si>
  <si>
    <t>.items-list { display: flex; flex-direction: column; gap: 12px; }</t>
  </si>
  <si>
    <t>.item-row {</t>
  </si>
  <si>
    <t>display: grid; grid-template-columns: 2fr 1fr 100px 140px auto; gap: 16px;</t>
  </si>
  <si>
    <t>.btn-amber {</t>
  </si>
  <si>
    <t>align-items: end; padding: 16px; background: var(--surface-hover);</t>
  </si>
  <si>
    <t>background: var(--amber);</t>
  </si>
  <si>
    <t>border: 1px solid var(--border); border-radius: var(--r);</t>
  </si>
  <si>
    <t>border-color: var(--amber);</t>
  </si>
  <si>
    <t>.item-row:hover { border-color: var(--border2); background: #fdfdfd; }</t>
  </si>
  <si>
    <t>.btn-amber:hover {</t>
  </si>
  <si>
    <t>.item-avail {</t>
  </si>
  <si>
    <t>opacity: .9;</t>
  </si>
  <si>
    <t>font-family: 'JetBrains Mono', monospace; font-size: 12px; color: var(--muted);</t>
  </si>
  <si>
    <t>padding: 10px 12px; border: 1px dashed var(--border2); border-radius: var(--r);</t>
  </si>
  <si>
    <t>text-align: center; display: flex; align-items: center; justify-content: center;</t>
  </si>
  <si>
    <t>.btn-amber:disabled {</t>
  </si>
  <si>
    <t>background: var(--surface); height: 42px;</t>
  </si>
  <si>
    <t>.item-avail.low { color: var(--orange); border-color: var(--orange); background: var(--orange-s); }</t>
  </si>
  <si>
    <t>.item-avail.zero { color: var(--red); border-color: #fca5a5; background: var(--red-s); }</t>
  </si>
  <si>
    <t>.btn-secondary {</t>
  </si>
  <si>
    <t>.rm-btn {</t>
  </si>
  <si>
    <t>width: 42px; height: 42px; border: 1px solid var(--border2); background: var(--surface);</t>
  </si>
  <si>
    <t>color: var(--muted); border-radius: var(--r); cursor: pointer; font-size: 18px;</t>
  </si>
  <si>
    <t>border-color: var(--border2);</t>
  </si>
  <si>
    <t>transition: var(--trans); display: flex; align-items: center; justify-content: center;</t>
  </si>
  <si>
    <t>.rm-btn:hover { color: var(--red); border-color: #fca5a5; background: var(--red-s); transform: scale(1.05); }</t>
  </si>
  <si>
    <t>.btn-secondary:hover {</t>
  </si>
  <si>
    <t>background: var(--surface2);</t>
  </si>
  <si>
    <t>.submit-bar {</t>
  </si>
  <si>
    <t>display: flex; justify-content: space-between; align-items: center; gap: 16px;</t>
  </si>
  <si>
    <t>padding-top: 20px; border-top: 1px solid var(--border); flex-wrap: wrap;</t>
  </si>
  <si>
    <t>.btn-success {</t>
  </si>
  <si>
    <t>background: var(--green);</t>
  </si>
  <si>
    <t>.item-summary { font-size: 14px; color: var(--muted); }</t>
  </si>
  <si>
    <t>.item-summary strong { color: var(--ink); font-weight: 600; }</t>
  </si>
  <si>
    <t>/* ── DATA TABLES ────────────────────────────────── */</t>
  </si>
  <si>
    <t>.btn-success:hover {</t>
  </si>
  <si>
    <t>.tbl-wrap { overflow-x: auto; }</t>
  </si>
  <si>
    <t>table { width: 100%; border-collapse: collapse; font-size: 13.5px; }</t>
  </si>
  <si>
    <t>table th {</t>
  </si>
  <si>
    <t>padding: 14px 16px; text-align: left; border-bottom: 1px solid var(--border2);</t>
  </si>
  <si>
    <t>.btn-success:disabled {</t>
  </si>
  <si>
    <t>font-size: 11px; font-weight: 600; text-transform: uppercase; letter-spacing: 0.05em;</t>
  </si>
  <si>
    <t>color: var(--muted); background: var(--surface2); white-space: nowrap;</t>
  </si>
  <si>
    <t>table td { padding: 14px 16px; border-bottom: 1px solid var(--border); vertical-align: middle; }</t>
  </si>
  <si>
    <t>table tbody tr { transition: var(--trans); }</t>
  </si>
  <si>
    <t>.btn-danger-soft {</t>
  </si>
  <si>
    <t>table tbody tr:hover td { background: var(--surface-hover); }</t>
  </si>
  <si>
    <t>table tbody tr:last-child td { border-bottom: none; }</t>
  </si>
  <si>
    <t>color: var(--red);</t>
  </si>
  <si>
    <t>border-color: #fca5a5;</t>
  </si>
  <si>
    <t>/* ── BADGES ─────────────────────────────────────── */</t>
  </si>
  <si>
    <t>.badge {</t>
  </si>
  <si>
    <t>display: inline-flex; align-items: center; font-family: 'JetBrains Mono', monospace;</t>
  </si>
  <si>
    <t>.btn-danger-soft:hover {</t>
  </si>
  <si>
    <t>font-size: 11px; font-weight: 600; text-transform: uppercase; padding: 4px 10px;</t>
  </si>
  <si>
    <t>background: var(--red-s);</t>
  </si>
  <si>
    <t>border-radius: var(--r-pill); border: 1px solid transparent;</t>
  </si>
  <si>
    <t>.b-ch { background: var(--surface2); color: var(--ink2); border-color: var(--border2); }</t>
  </si>
  <si>
    <t>.btn-ghost {</t>
  </si>
  <si>
    <t>.b-Pending { background: var(--amber-s); color: #b45309; border-color: #fcd34d; }</t>
  </si>
  <si>
    <t>background: transparent;</t>
  </si>
  <si>
    <t>.b-Confirmed { background: var(--green-s); color: #047857; border-color: #6ee7b7; }</t>
  </si>
  <si>
    <t>.b-Shipped { background: var(--blue-s); color: #1d4ed8; border-color: #93c5fd; }</t>
  </si>
  <si>
    <t>border-color: transparent;</t>
  </si>
  <si>
    <t>.b-Delivered { background: var(--green); color: #fff; border-color: var(--green); }</t>
  </si>
  <si>
    <t>padding: 6px 10px;</t>
  </si>
  <si>
    <t>.b-Cancelled { background: var(--surface2); color: var(--muted); border-color: var(--border2); }</t>
  </si>
  <si>
    <t>.b-Returned { background: var(--red-s); color: #b91c1c; border-color: #fca5a5; }</t>
  </si>
  <si>
    <t>.b-SALE, .b-MANUAL_ADJUST, .b-MANUAL_SET { background: var(--surface2); color: var(--ink2); border-color: var(--border2); }</t>
  </si>
  <si>
    <t>.btn-ghost:hover {</t>
  </si>
  <si>
    <t>/* ── INVENTORY TILES ───────────────────────────── */</t>
  </si>
  <si>
    <t>.inv-cards-list { padding: 20px 24px; display: grid; grid-template-columns: repeat(auto-fill, minmax(240px, 1fr)); gap: 20px; }</t>
  </si>
  <si>
    <t>.inv-tile {</t>
  </si>
  <si>
    <t>background: var(--surface); border: 1px solid var(--border); border-radius: 12px;</t>
  </si>
  <si>
    <t>.btn-sm {</t>
  </si>
  <si>
    <t>overflow: hidden; cursor: pointer; transition: var(--trans); display: flex; flex-direction: column;</t>
  </si>
  <si>
    <t>padding: 5px 10px;</t>
  </si>
  <si>
    <t>font-size: 12px;</t>
  </si>
  <si>
    <t>.inv-tile:hover { border-color: var(--border2); box-shadow: var(--shadow-md); transform: translateY(-4px); }</t>
  </si>
  <si>
    <t>.inv-tile.open { border-color: var(--blue); box-shadow: 0 0 0 2px var(--blue-s); }</t>
  </si>
  <si>
    <t>.inv-tile-hero { width: 100%; height: 220px; background: var(--surface2); position: relative; display: flex; align-items: center; justify-content: center; overflow: hidden; flex-shrink: 0; }</t>
  </si>
  <si>
    <t>.inv-tile-hero img { width: 100%; height: 100%; object-fit: cover; display: block; transition: transform 0.5s ease; }</t>
  </si>
  <si>
    <t>.inv-tile:hover .inv-tile-hero img { transform: scale(1.05); }</t>
  </si>
  <si>
    <t>.hero-placeholder { font-family: 'Outfit', serif; font-size: 56px; font-weight: 600; text-align: center; }</t>
  </si>
  <si>
    <t>.inv-tile-top { padding: 16px 20px 12px; }</t>
  </si>
  <si>
    <t>.inv-tile-name { font-size: 15px; font-weight: 600; color: var(--ink); line-height: 1.4; display: -webkit-box; -webkit-line-clamp: 2; -webkit-box-orient: vertical; overflow: hidden; min-height: 42px; }</t>
  </si>
  <si>
    <t>.inv-tile-style { font-family: 'JetBrains Mono', monospace; font-size: 11px; color: var(--muted); margin-top: 6px; }</t>
  </si>
  <si>
    <t>padding: 16px 20px;</t>
  </si>
  <si>
    <t>.inv-tile-bottom { display: flex; align-items: center; justify-content: space-between; padding: 12px 20px 16px; border-top: 1px solid var(--border); margin-top: auto; }</t>
  </si>
  <si>
    <t>.inv-tile-num { font-family: 'JetBrains Mono', monospace; font-size: 26px; font-weight: 700; line-height: 1; }</t>
  </si>
  <si>
    <t>.inv-tile-unit { font-size: 10px; font-weight: 700; text-transform: uppercase; letter-spacing: 0.1em; color: var(--muted); margin-top: 4px; }</t>
  </si>
  <si>
    <t>.inv-tile-chev { font-size: 18px; color: var(--muted); transition: transform 0.3s; }</t>
  </si>
  <si>
    <t>.inv-tile.open .inv-tile-chev { transform: rotate(90deg); }</t>
  </si>
  <si>
    <t>flex-wrap: wrap;</t>
  </si>
  <si>
    <t>.inv-tile-detail { border-top: 1px solid var(--border); background: var(--surface-hover); padding: 16px; }</t>
  </si>
  <si>
    <t>.inv-sz-row { display: grid; grid-template-columns: repeat(3, 1fr); gap: 8px; margin-bottom: 12px; }</t>
  </si>
  <si>
    <t>.card-title {</t>
  </si>
  <si>
    <t>.inv-sz-cell { display: flex; flex-direction: column; align-items: center; gap: 4px; padding: 10px 4px; border-radius: 8px; }</t>
  </si>
  <si>
    <t>.inv-sz-cell .szl { font-size: 10px; font-weight: 700; text-transform: uppercase; letter-spacing: 0.05em; opacity: 0.8; }</t>
  </si>
  <si>
    <t>.inv-sz-cell .szv { font-family: 'JetBrains Mono', monospace; font-size: 16px; font-weight: 700; line-height: 1; }</t>
  </si>
  <si>
    <t>/* ── TOOLBARS &amp; LOADERS ───────────────────────── */</t>
  </si>
  <si>
    <t>.toolbar {</t>
  </si>
  <si>
    <t>.card-body {</t>
  </si>
  <si>
    <t>padding: 16px 24px; border-bottom: 1px solid var(--border); background: rgba(248, 250, 252, 0.5);</t>
  </si>
  <si>
    <t>display: flex; align-items: center; gap: 16px; flex-wrap: wrap;</t>
  </si>
  <si>
    <t>.search-wrap { position: relative; flex: 1; min-width: 250px; max-width: 400px; }</t>
  </si>
  <si>
    <t>.card-body.p0 {</t>
  </si>
  <si>
    <t>.search-wrap svg { position: absolute; left: 14px; top: 50%; transform: translateY(-50%); width: 16px; height: 16px; color: var(--muted); }</t>
  </si>
  <si>
    <t>.search-wrap input { padding-left: 40px; border-radius: var(--r-pill); }</t>
  </si>
  <si>
    <t>.loader {</t>
  </si>
  <si>
    <t>padding: 60px; display: flex; align-items: center; justify-content: center; gap: 12px;</t>
  </si>
  <si>
    <t>.kpi-grid {</t>
  </si>
  <si>
    <t>font-size: 14px; color: var(--muted); font-weight: 500;</t>
  </si>
  <si>
    <t>display: grid;</t>
  </si>
  <si>
    <t>grid-template-columns: repeat(auto-fit, minmax(160px, 1fr));</t>
  </si>
  <si>
    <t>.loader::before {</t>
  </si>
  <si>
    <t>gap: 14px;</t>
  </si>
  <si>
    <t>content: ''; width: 20px; height: 20px; border: 3px solid var(--border2);</t>
  </si>
  <si>
    <t>margin-bottom: 20px;</t>
  </si>
  <si>
    <t>border-top-color: var(--blue); border-radius: 50%; animation: spin 0.8s linear infinite;</t>
  </si>
  <si>
    <t>.empty { padding: 60px 20px; text-align: center; color: var(--muted); font-size: 14px; }</t>
  </si>
  <si>
    <t>.empty strong { display: block; font-size: 16px; color: var(--ink); margin-bottom: 8px; font-weight: 600; }</t>
  </si>
  <si>
    <t>/* ── MISC UI ELEMENTS ───────────────────────────── */</t>
  </si>
  <si>
    <t>.pag { padding: 16px 24px; border-top: 1px solid var(--border); display: flex; align-items: center; justify-content: space-between; gap: 12px; flex-wrap: wrap; background: rgba(248, 250, 252, 0.5); }</t>
  </si>
  <si>
    <t>padding: 18px 20px;</t>
  </si>
  <si>
    <t>.pag-info { font-size: 13px; color: var(--muted); }</t>
  </si>
  <si>
    <t>position: relative;</t>
  </si>
  <si>
    <t>.pag-btns { display: flex; gap: 6px; align-items: center; }</t>
  </si>
  <si>
    <t>.pb { background: var(--surface); border: 1px solid var(--border2); color: var(--ink); padding: 6px 12px; border-radius: var(--r); cursor: pointer; font-size: 13px; font-weight: 500; transition: var(--trans); }</t>
  </si>
  <si>
    <t>.pb:hover:not(:disabled) { background: var(--surface2); border-color: var(--muted); }</t>
  </si>
  <si>
    <t>.pb.on { background: var(--ink); color: #fff; border-color: var(--ink); }</t>
  </si>
  <si>
    <t>.kpi::after {</t>
  </si>
  <si>
    <t>.product-banner {</t>
  </si>
  <si>
    <t>position: absolute;</t>
  </si>
  <si>
    <t>background: linear-gradient(135deg, var(--ink) 0%, var(--ink2) 100%);</t>
  </si>
  <si>
    <t>top: 0;</t>
  </si>
  <si>
    <t>border-radius: var(--r2); padding: 20px 24px; color: #fff;</t>
  </si>
  <si>
    <t>left: 0;</t>
  </si>
  <si>
    <t>display: flex; align-items: center; justify-content: space-between; flex-wrap: wrap; gap: 16px;</t>
  </si>
  <si>
    <t>right: 0;</t>
  </si>
  <si>
    <t>box-shadow: 0 10px 20px rgba(0,0,0,0.1);</t>
  </si>
  <si>
    <t>height: 3px;</t>
  </si>
  <si>
    <t>.pb-name { font-size: 20px; font-weight: 600; }</t>
  </si>
  <si>
    <t>.pb-style { font-family: 'JetBrains Mono', monospace; font-size: 13px; opacity: 0.7; margin-top: 4px; }</t>
  </si>
  <si>
    <t>.kpi.blue::after {</t>
  </si>
  <si>
    <t>.pb-ih { text-align: right; }</t>
  </si>
  <si>
    <t>background: var(--blue);</t>
  </si>
  <si>
    <t>.pb-ih-label { font-size: 11px; opacity: 0.7; text-transform: uppercase; letter-spacing: 0.1em; font-weight: 600; }</t>
  </si>
  <si>
    <t>.pb-ih-val { font-family: 'Outfit', sans-serif; font-size: 32px; font-weight: 700; line-height: 1; }</t>
  </si>
  <si>
    <t>.kpi.green::after {</t>
  </si>
  <si>
    <t>.mode-row { display: flex; background: var(--surface2); padding: 4px; border-radius: var(--r); width: fit-content; gap: 4px; }</t>
  </si>
  <si>
    <t>background: #16a34a;</t>
  </si>
  <si>
    <t>.mode-btn { padding: 8px 16px; cursor: pointer; font-size: 13px; font-weight: 600; color: var(--muted); background: transparent; border: none; border-radius: var(--r-sm); transition: var(--trans); }</t>
  </si>
  <si>
    <t>.mode-btn.on { background: var(--surface); color: var(--ink); box-shadow: var(--shadow-sm); }</t>
  </si>
  <si>
    <t>.kpi.amber::after {</t>
  </si>
  <si>
    <t>/* ── TOASTS ─────────────────────────────────────── */</t>
  </si>
  <si>
    <t>.toasts { position: fixed; top: 24px; right: 24px; z-index: 9999; display: flex; flex-direction: column; gap: 10px; pointer-events: none; }</t>
  </si>
  <si>
    <t>.toast {</t>
  </si>
  <si>
    <t>pointer-events: auto; padding: 14px 20px; border-radius: var(--r); box-shadow: var(--shadow-floating);</t>
  </si>
  <si>
    <t>.kpi.red::after {</t>
  </si>
  <si>
    <t>font-size: 14px; font-weight: 500; max-width: 380px; display: flex; align-items: center; gap: 12px;</t>
  </si>
  <si>
    <t>background: #dc2626;</t>
  </si>
  <si>
    <t>animation: tst 0.4s cubic-bezier(0.16, 1, 0.3, 1) forwards; border-left: 4px solid transparent; background: var(--surface);</t>
  </si>
  <si>
    <t>.toast.info { border-left-color: var(--blue); color: var(--ink); }</t>
  </si>
  <si>
    <t>.kpi-label {</t>
  </si>
  <si>
    <t>.toast.success { border-left-color: var(--green); color: var(--ink); }</t>
  </si>
  <si>
    <t>.toast.error { border-left-color: var(--red); color: var(--ink); }</t>
  </si>
  <si>
    <t>@keyframes tst { from { transform: translateX(20px); opacity: 0; } to { transform: translateX(0); opacity: 1; } }</t>
  </si>
  <si>
    <t>&lt;/style&gt;</t>
  </si>
  <si>
    <t>&lt;/head&gt;</t>
  </si>
  <si>
    <t>margin-bottom: 8px;</t>
  </si>
  <si>
    <t>&lt;body&gt;</t>
  </si>
  <si>
    <t>&lt;div class="shell"&gt;</t>
  </si>
  <si>
    <t>.kpi-value {</t>
  </si>
  <si>
    <t>&lt;!-- ════════════ SIDEBAR ════════════ --&gt;</t>
  </si>
  <si>
    <t>&lt;aside class="sidebar" id="sidebar"&gt;</t>
  </si>
  <si>
    <t>font-size: 34px;</t>
  </si>
  <si>
    <t>&lt;div class="sb-brand"&gt;</t>
  </si>
  <si>
    <t>&lt;div class="sb-logo"&gt;VHAGAR&lt;/div&gt;</t>
  </si>
  <si>
    <t>letter-spacing: -.02em;</t>
  </si>
  <si>
    <t>&lt;div class="sb-tagline"&gt;Operating System&lt;/div&gt;</t>
  </si>
  <si>
    <t>line-height: 1;</t>
  </si>
  <si>
    <t>&lt;/div&gt;</t>
  </si>
  <si>
    <t>margin-bottom: 6px;</t>
  </si>
  <si>
    <t>&lt;div class="sb-nav"&gt;</t>
  </si>
  <si>
    <t>&lt;div class="sb-section"&gt;Main&lt;/div&gt;</t>
  </si>
  <si>
    <t>&lt;div class="sb-item active" data-tab="dashboard" onclick="switchTab('dashboard')"&gt;</t>
  </si>
  <si>
    <t>.kpi-value.red {</t>
  </si>
  <si>
    <t>&lt;svg fill="none" stroke="currentColor" viewBox="0 0 24 24"&gt;&lt;rect x="3" y="3" width="7" height="7" rx="1" /&gt;&lt;rect x="14" y="3" width="7" height="7" rx="1" /&gt;&lt;rect x="3" y="14" width="7" height="7" rx="1" /&gt;&lt;rect x="14" y="14" width="7" height="7" rx="1" /&gt;&lt;/svg&gt;</t>
  </si>
  <si>
    <t>color: #dc2626;</t>
  </si>
  <si>
    <t>Dashboard</t>
  </si>
  <si>
    <t>&lt;div class="sb-item" data-tab="new-order" onclick="switchTab('new-order')"&gt;</t>
  </si>
  <si>
    <t>.kpi-value.green {</t>
  </si>
  <si>
    <t>&lt;svg fill="none" stroke="currentColor" viewBox="0 0 24 24"&gt;&lt;path d="M12 5v14M5 12h14"/&gt;&lt;/svg&gt;</t>
  </si>
  <si>
    <t>color: #16a34a;</t>
  </si>
  <si>
    <t>New Order</t>
  </si>
  <si>
    <t>&lt;div class="sb-section"&gt;Records&lt;/div&gt;</t>
  </si>
  <si>
    <t>.kpi-value.amber {</t>
  </si>
  <si>
    <t>&lt;div class="sb-item" data-tab="orders" onclick="switchTab('orders')"&gt;</t>
  </si>
  <si>
    <t>color: var(--amber);</t>
  </si>
  <si>
    <t>&lt;svg fill="none" stroke="currentColor" viewBox="0 0 24 24"&gt;&lt;path d="M9 5H7a2 2 0 0 0-2 2v12a2 2 0 0 0 2 2h10a2 2 0 0 0 2-2V7a2 2 0 0 0-2-2h-2" /&gt;&lt;rect x="9" y="3" width="6" height="4" rx="1" /&gt;&lt;line x1="9" y1="12" x2="15" y2="12" /&gt;&lt;line x1="9" y1="16" x2="13" y2="16" /&gt;&lt;/svg&gt;</t>
  </si>
  <si>
    <t>Orders</t>
  </si>
  <si>
    <t>.kpi-sub {</t>
  </si>
  <si>
    <t>&lt;div class="sb-item" data-tab="inventory" onclick="switchTab('inventory')"&gt;</t>
  </si>
  <si>
    <t>&lt;svg fill="none" stroke="currentColor" viewBox="0 0 24 24"&gt;&lt;rect x="2" y="7" width="20" height="14" rx="2" ry="2" /&gt;&lt;path d="M16 21V5a2 2 0 0 0-2-2h-4a2 2 0 0 0-2 2v16" /&gt;&lt;/svg&gt;</t>
  </si>
  <si>
    <t>Inventory</t>
  </si>
  <si>
    <t>&lt;div class="sb-item" data-tab="movements" onclick="switchTab('movements')"&gt;</t>
  </si>
  <si>
    <t>/* ── TWO-COL GRID ──────────────────────────────── */</t>
  </si>
  <si>
    <t>&lt;svg fill="none" stroke="currentColor" viewBox="0 0 24 24"&gt;&lt;polyline points="22 12 18 12 15 21 9 3 6 12 2 12" /&gt;&lt;/svg&gt;</t>
  </si>
  <si>
    <t>.grid2 {</t>
  </si>
  <si>
    <t>Movements</t>
  </si>
  <si>
    <t>grid-template-columns: 1fr 1fr;</t>
  </si>
  <si>
    <t>&lt;div class="sb-section"&gt;Manufacturing&lt;/div&gt;</t>
  </si>
  <si>
    <t>&lt;div class="sb-item" data-tab="production" onclick="switchTab('production')"&gt;</t>
  </si>
  <si>
    <t>margin-bottom: 16px;</t>
  </si>
  <si>
    <t>&lt;svg fill="none" stroke="currentColor" viewBox="0 0 24 24"&gt;&lt;path d="M21.21 15.89A10 10 0 1 1 8 2.83" /&gt;&lt;path d="M22 12A10 10 0 0 0 12 2v10z" /&gt;&lt;/svg&gt;</t>
  </si>
  <si>
    <t>Production</t>
  </si>
  <si>
    <t>@media(max-width:900px) {</t>
  </si>
  <si>
    <t>&lt;div class="sb-item" data-tab="requisition" onclick="switchTab('requisition')"&gt;</t>
  </si>
  <si>
    <t>&lt;svg fill="none" stroke="currentColor" viewBox="0 0 24 24"&gt;&lt;path d="M14 2H6a2 2 0 0 0-2 2v16a2 2 0 0 0 2 2h12a2 2 0 0 0 2-2V8z"/&gt;&lt;polyline points="14 2 14 8 20 8"/&gt;&lt;line x1="16" y1="13" x2="8" y2="13"/&gt;&lt;line x1="16" y1="17" x2="8" y2="17"/&gt;&lt;/svg&gt;</t>
  </si>
  <si>
    <t>grid-template-columns: 1fr;</t>
  </si>
  <si>
    <t>Requisition</t>
  </si>
  <si>
    <t>&lt;div class="sb-section"&gt;Stock&lt;/div&gt;</t>
  </si>
  <si>
    <t>&lt;div class="sb-item" data-tab="update-stock" onclick="switchTab('update-stock')"&gt;</t>
  </si>
  <si>
    <t>/* ── SECTION LABEL ─────────────────────────────── */</t>
  </si>
  <si>
    <t>&lt;svg fill="none" stroke="currentColor" viewBox="0 0 24 24"&gt;&lt;path d="M12 20h9" /&gt;&lt;path d="M16.5 3.5a2.121 2.121 0 0 1 3 3L7 19l-4 1 1-4L16.5 3.5z" /&gt;&lt;/svg&gt;</t>
  </si>
  <si>
    <t>.slabel {</t>
  </si>
  <si>
    <t>Update Stock</t>
  </si>
  <si>
    <t>&lt;div class="sb-footer"&gt;</t>
  </si>
  <si>
    <t>&lt;div class="sb-user"&gt;</t>
  </si>
  <si>
    <t>&lt;div class="sb-avatar" id="sb-avatar"&gt;–&lt;/div&gt;</t>
  </si>
  <si>
    <t>&lt;div style="min-width:0;"&gt;</t>
  </si>
  <si>
    <t>margin-bottom: 10px;</t>
  </si>
  <si>
    <t>&lt;div class="sb-email" id="sb-email"&gt;Authenticating…&lt;/div&gt;</t>
  </si>
  <si>
    <t>&lt;div class="sb-sync"&gt;&lt;span class="dot"&gt;&lt;/span&gt;Live sync active&lt;/div&gt;</t>
  </si>
  <si>
    <t>/* ── FORMS ──────────────────────────────────────── */</t>
  </si>
  <si>
    <t>.fg {</t>
  </si>
  <si>
    <t>&lt;/aside&gt;</t>
  </si>
  <si>
    <t>grid-template-columns: repeat(auto-fit, minmax(180px, 1fr));</t>
  </si>
  <si>
    <t>&lt;!-- ════════════ MAIN WRAP ════════════ --&gt;</t>
  </si>
  <si>
    <t>&lt;div class="main-wrap"&gt;</t>
  </si>
  <si>
    <t>.field {</t>
  </si>
  <si>
    <t>&lt;!-- Topbar --&gt;</t>
  </si>
  <si>
    <t>&lt;div class="topbar"&gt;</t>
  </si>
  <si>
    <t>&lt;div&gt;</t>
  </si>
  <si>
    <t>gap: 5px;</t>
  </si>
  <si>
    <t>&lt;div class="tb-title" id="tb-title"&gt;Dashboard&lt;/div&gt;</t>
  </si>
  <si>
    <t>&lt;div class="tb-sub" id="tb-sub"&gt;Overview &amp; key metrics&lt;/div&gt;</t>
  </si>
  <si>
    <t>.field label {</t>
  </si>
  <si>
    <t>&lt;!-- Content --&gt;</t>
  </si>
  <si>
    <t>&lt;div class="content"&gt;</t>
  </si>
  <si>
    <t>letter-spacing: .1em;</t>
  </si>
  <si>
    <t>&lt;!-- ════ DASHBOARD ════ --&gt;</t>
  </si>
  <si>
    <t>&lt;div id="tab-dashboard" class="fade-in"&gt;</t>
  </si>
  <si>
    <t>&lt;div class="kpi-grid" id="kpi-grid"&gt;&lt;div class="loader"&gt;Loading Dashboard Data...&lt;/div&gt;&lt;/div&gt;</t>
  </si>
  <si>
    <t>&lt;div class="grid2"&gt;</t>
  </si>
  <si>
    <t>.field label .req {</t>
  </si>
  <si>
    <t>&lt;div class="card"&gt;</t>
  </si>
  <si>
    <t>&lt;div class="card-hd"&gt;&lt;div class="card-title"&gt;Channel Performance — Today&lt;/div&gt;</t>
  </si>
  <si>
    <t>&lt;button class="btn btn-ghost btn-sm" onclick="loadDashboard()"&gt;Refresh&lt;/button&gt;&lt;/div&gt;</t>
  </si>
  <si>
    <t>&lt;div class="card-body" id="dash-channels"&gt;&lt;div class="loader"&gt;&lt;/div&gt;&lt;/div&gt;</t>
  </si>
  <si>
    <t>input,</t>
  </si>
  <si>
    <t>select,</t>
  </si>
  <si>
    <t>textarea {</t>
  </si>
  <si>
    <t>&lt;div class="card-hd"&gt;&lt;div class="card-title"&gt;Inventory Health&lt;/div&gt;&lt;/div&gt;</t>
  </si>
  <si>
    <t>&lt;div class="card-body" id="dash-health"&gt;&lt;div class="loader"&gt;&lt;/div&gt;&lt;/div&gt;</t>
  </si>
  <si>
    <t>padding: 8px 10px;</t>
  </si>
  <si>
    <t>&lt;div class="card-hd"&gt;&lt;div class="card-title"&gt;Low Stock Alerts&lt;/div&gt;&lt;span id="low-count-badge" class="badge b-Pending"&gt;&lt;/span&gt;&lt;/div&gt;</t>
  </si>
  <si>
    <t>&lt;div class="card-body p0" id="dash-low"&gt;&lt;div class="loader"&gt;&lt;/div&gt;&lt;/div&gt;</t>
  </si>
  <si>
    <t>transition: border-color .15s, box-shadow .15s;</t>
  </si>
  <si>
    <t>width: 100%;</t>
  </si>
  <si>
    <t>&lt;div class="card-hd"&gt;&lt;div class="card-title"&gt;Recent Orders&lt;/div&gt;&lt;/div&gt;</t>
  </si>
  <si>
    <t>&lt;div class="card-body p0" id="dash-recent"&gt;&lt;div class="loader"&gt;&lt;/div&gt;&lt;/div&gt;</t>
  </si>
  <si>
    <t>input:focus,</t>
  </si>
  <si>
    <t>select:focus,</t>
  </si>
  <si>
    <t>textarea:focus {</t>
  </si>
  <si>
    <t>outline: none;</t>
  </si>
  <si>
    <t>border-color: var(--blue);</t>
  </si>
  <si>
    <t>&lt;!-- ════ NEW ORDER ════ --&gt;</t>
  </si>
  <si>
    <t>box-shadow: 0 0 0 3px rgba(29, 78, 216, .1);</t>
  </si>
  <si>
    <t>&lt;div id="tab-new-order" class="fade-in" hidden&gt;</t>
  </si>
  <si>
    <t>&lt;div class="card" style="max-width: 900px; margin: 0 auto;"&gt;</t>
  </si>
  <si>
    <t>&lt;div class="card-hd"&gt;</t>
  </si>
  <si>
    <t>input.mono,</t>
  </si>
  <si>
    <t>&lt;div class="card-title"&gt;Create New Order&lt;/div&gt;</t>
  </si>
  <si>
    <t>select.mono {</t>
  </si>
  <si>
    <t>&lt;div class="card-body"&gt;</t>
  </si>
  <si>
    <t>&lt;div class="slabel"&gt;Order Info&lt;/div&gt;</t>
  </si>
  <si>
    <t>&lt;div class="fg"&gt;</t>
  </si>
  <si>
    <t>&lt;div class="field"&gt;&lt;label&gt;Channel &lt;span class="req"&gt;*&lt;/span&gt;&lt;/label&gt;&lt;select id="f-channel" class="mono"&gt;&lt;/select&gt;&lt;/div&gt;</t>
  </si>
  <si>
    <t>&lt;div class="field"&gt;&lt;label&gt;Order Date&lt;/label&gt;&lt;input type="date" id="f-date" class="mono"&gt;&lt;/div&gt;</t>
  </si>
  <si>
    <t>resize: vertical;</t>
  </si>
  <si>
    <t>&lt;div class="field"&gt;&lt;label&gt;Status&lt;/label&gt;&lt;select id="f-status"&gt;&lt;/select&gt;&lt;/div&gt;</t>
  </si>
  <si>
    <t>min-height: 56px;</t>
  </si>
  <si>
    <t>&lt;div class="divider"&gt;&lt;/div&gt;</t>
  </si>
  <si>
    <t>&lt;div class="slabel"&gt;Buyer Details&lt;/div&gt;</t>
  </si>
  <si>
    <t>.divider {</t>
  </si>
  <si>
    <t>height: 1px;</t>
  </si>
  <si>
    <t>&lt;div class="field"&gt;&lt;label&gt;Buyer Name &lt;span class="req"&gt;*&lt;/span&gt;&lt;/label&gt;&lt;input type="text" id="f-buyer-name" placeholder="e.g. Rahul Sharma"&gt;&lt;/div&gt;</t>
  </si>
  <si>
    <t>background: var(--border);</t>
  </si>
  <si>
    <t>&lt;div class="field"&gt;&lt;label&gt;Email / Phone &lt;span class="req"&gt;*&lt;/span&gt;&lt;/label&gt;&lt;input type="text" id="f-buyer-contact" placeholder="email@example.com or +91…"&gt;&lt;/div&gt;</t>
  </si>
  <si>
    <t>margin: 18px 0;</t>
  </si>
  <si>
    <t>&lt;div style="display:flex;justify-content:space-between;align-items:center;margin-bottom:16px;"&gt;</t>
  </si>
  <si>
    <t>&lt;div class="slabel" style="margin:0;"&gt;Line Items&lt;/div&gt;</t>
  </si>
  <si>
    <t>.items-list {</t>
  </si>
  <si>
    <t>&lt;button class="btn btn-secondary btn-sm" onclick="addLineItem()"&gt;+ Add Item&lt;/button&gt;</t>
  </si>
  <si>
    <t>&lt;datalist id="products-list"&gt;&lt;/datalist&gt;</t>
  </si>
  <si>
    <t>&lt;div class="items-list" id="items-list"&gt;&lt;/div&gt;</t>
  </si>
  <si>
    <t>&lt;div class="field" style="max-width:100%;"&gt;</t>
  </si>
  <si>
    <t>&lt;label&gt;Notes (optional)&lt;/label&gt;&lt;textarea id="f-notes" placeholder="Ref numbers, special instructions…"&gt;&lt;/textarea&gt;</t>
  </si>
  <si>
    <t>grid-template-columns: 2fr 1fr 90px 120px auto;</t>
  </si>
  <si>
    <t>&lt;div class="submit-bar"&gt;</t>
  </si>
  <si>
    <t>&lt;div class="item-summary" id="order-summary"&gt;No items added&lt;/div&gt;</t>
  </si>
  <si>
    <t>align-items: end;</t>
  </si>
  <si>
    <t>&lt;div style="display:flex;gap:12px;"&gt;</t>
  </si>
  <si>
    <t>padding: 12px;</t>
  </si>
  <si>
    <t>&lt;button class="btn btn-ghost" onclick="resetOrderForm()"&gt;Clear All&lt;/button&gt;</t>
  </si>
  <si>
    <t>&lt;button class="btn btn-primary" id="submit-btn" onclick="submitOrderFn()"&gt;Submit Order&lt;/button&gt;</t>
  </si>
  <si>
    <t>&lt;!-- ════ ORDERS ════ --&gt;</t>
  </si>
  <si>
    <t>&lt;div id="tab-orders" class="fade-in" hidden&gt;</t>
  </si>
  <si>
    <t>border: 1px dashed var(--border);</t>
  </si>
  <si>
    <t>&lt;div class="card-title"&gt;Order History&lt;/div&gt;</t>
  </si>
  <si>
    <t>text-align: center;</t>
  </si>
  <si>
    <t>&lt;div style="display:flex;align-items:center;gap:16px;"&gt;</t>
  </si>
  <si>
    <t>min-height: 34px;</t>
  </si>
  <si>
    <t>&lt;span style="font-size:13px;color:var(--muted);font-weight:500;" id="orders-summary"&gt;—&lt;/span&gt;</t>
  </si>
  <si>
    <t>&lt;button class="btn btn-ghost btn-sm" onclick="loadOrders()"&gt;Refresh Data&lt;/button&gt;</t>
  </si>
  <si>
    <t>&lt;div class="toolbar"&gt;</t>
  </si>
  <si>
    <t>&lt;div class="search-wrap"&gt;</t>
  </si>
  <si>
    <t>&lt;svg fill="none" stroke="currentColor" viewBox="0 0 24 24"&gt;&lt;circle cx="11" cy="11" r="8"/&gt;&lt;line x1="21" y1="21" x2="16.65" y2="16.65"/&gt;&lt;/svg&gt;</t>
  </si>
  <si>
    <t>.item-avail.low {</t>
  </si>
  <si>
    <t>&lt;input type="text" id="of-search" placeholder="Search ID, buyer, product…" oninput="debOrders()"&gt;</t>
  </si>
  <si>
    <t>color: var(--orange);</t>
  </si>
  <si>
    <t>border-color: var(--orange);</t>
  </si>
  <si>
    <t>&lt;div style="display:flex;align-items:center;gap:12px;margin-left:auto;flex-wrap:wrap;"&gt;</t>
  </si>
  <si>
    <t>background: var(--orange-s);</t>
  </si>
  <si>
    <t>&lt;select class="mono" id="of-channel" style="width:140px;" onchange="filterOrders()"&gt;&lt;option value=""&gt;All Channels&lt;/option&gt;&lt;/select&gt;</t>
  </si>
  <si>
    <t>&lt;select class="mono" id="of-status" style="width:140px;" onchange="filterOrders()"&gt;&lt;option value=""&gt;All Status&lt;/option&gt;&lt;/select&gt;</t>
  </si>
  <si>
    <t>&lt;div style="display:flex;align-items:center;gap:8px; background: var(--surface); padding: 4px 8px; border-radius: var(--r); border: 1px solid var(--border2);"&gt;</t>
  </si>
  <si>
    <t>.item-avail.zero {</t>
  </si>
  <si>
    <t>&lt;input type="date" id="of-from" class="mono" style="border:none;box-shadow:none;padding:4px;width:125px;" onchange="filterOrders()"&gt;</t>
  </si>
  <si>
    <t>&lt;span style="color:var(--muted);font-size:12px;"&gt;to&lt;/span&gt;</t>
  </si>
  <si>
    <t>&lt;input type="date" id="of-to" class="mono" style="border:none;box-shadow:none;padding:4px;width:125px;" onchange="filterOrders()"&gt;</t>
  </si>
  <si>
    <t>&lt;div class="tbl-wrap" id="orders-table"&gt;&lt;div class="loader"&gt;&lt;/div&gt;&lt;/div&gt;</t>
  </si>
  <si>
    <t>width: 34px;</t>
  </si>
  <si>
    <t>&lt;div class="pag" id="orders-pag" style="display:none;"&gt;&lt;/div&gt;</t>
  </si>
  <si>
    <t>height: 34px;</t>
  </si>
  <si>
    <t>background: none;</t>
  </si>
  <si>
    <t>&lt;!-- Order Detail Modal --&gt;</t>
  </si>
  <si>
    <t>&lt;div id="order-detail-modal" style="display:none;position:fixed;top:0;left:0;right:0;bottom:0;background:rgba(15,23,42,0.6);backdrop-filter:blur(4px);z-index:1000;overflow-y:auto;padding:24px;"&gt;</t>
  </si>
  <si>
    <t>&lt;div class="fade-in" style="max-width:800px;width:96%;margin:40px auto;background:var(--surface);border-radius:20px;box-shadow:var(--shadow-floating);overflow:hidden;"&gt;</t>
  </si>
  <si>
    <t>&lt;div style="padding:20px 24px;background:var(--sb);color:#fff;display:flex;align-items:center;justify-content:space-between;"&gt;</t>
  </si>
  <si>
    <t>font-size: 15px;</t>
  </si>
  <si>
    <t>&lt;div&gt;&lt;div style="font-weight:600;font-size:18px;"&gt;Order Details&lt;/div&gt;&lt;div class="mono" style="font-size:13px;opacity:.7;margin-top:2px;" id="ord-modal-id"&gt;&lt;/div&gt;&lt;/div&gt;</t>
  </si>
  <si>
    <t>&lt;button onclick="closeOrdModal()" style="background:none;border:none;color:#fff;font-size:28px;cursor:pointer;line-height:1;opacity:0.7;transition:0.2s;"&gt;&amp;times;&lt;/button&gt;</t>
  </si>
  <si>
    <t>.rm-btn:hover {</t>
  </si>
  <si>
    <t>&lt;div id="ord-modal-body" style="padding:24px;"&gt;&lt;/div&gt;</t>
  </si>
  <si>
    <t>&lt;!-- ════ INVENTORY ════ --&gt;</t>
  </si>
  <si>
    <t>&lt;div id="tab-inventory" class="fade-in" hidden&gt;</t>
  </si>
  <si>
    <t>&lt;div class="card-title"&gt;Live Stock Inventory&lt;/div&gt;</t>
  </si>
  <si>
    <t>&lt;span style="font-size:13px;color:var(--muted);display:flex;align-items:center;gap:6px;font-weight:500;"&gt;</t>
  </si>
  <si>
    <t>padding-top: 16px;</t>
  </si>
  <si>
    <t>&lt;span style="width:8px;height:8px;background:var(--green);border-radius:50%;display:inline-block;animation:pulse-dot 2s infinite;"&gt;&lt;/span&gt;</t>
  </si>
  <si>
    <t>margin-top: 16px;</t>
  </si>
  <si>
    <t>Auto-sync active</t>
  </si>
  <si>
    <t>border-top: 1px solid var(--border);</t>
  </si>
  <si>
    <t>&lt;/span&gt;</t>
  </si>
  <si>
    <t>.item-summary {</t>
  </si>
  <si>
    <t>&lt;svg fill="none" stroke="currentColor" viewBox="0 0 24 24"&gt;&lt;circle cx="11" cy="11" r="8" /&gt;&lt;line x1="21" y1="21" x2="16.65" y2="16.65" /&gt;&lt;/svg&gt;</t>
  </si>
  <si>
    <t>&lt;input type="text" id="inv-search" placeholder="Search style no. or product name…" oninput="filterInv()"&gt;</t>
  </si>
  <si>
    <t>&lt;div style="display:flex;align-items:center;gap:16px;margin-left:auto;flex-wrap:wrap;"&gt;</t>
  </si>
  <si>
    <t>&lt;div style="display:flex;align-items:center;gap:8px;"&gt;</t>
  </si>
  <si>
    <t>&lt;span style="font-size:12px;color:var(--muted);font-weight:600;"&gt;SORT&lt;/span&gt;</t>
  </si>
  <si>
    <t>.item-summary strong {</t>
  </si>
  <si>
    <t>&lt;select class="mono" id="inv-sort" onchange="invSortChange()" style="width:140px;"&gt;</t>
  </si>
  <si>
    <t>&lt;option value="product_name:asc"&gt;Name A–Z&lt;/option&gt;</t>
  </si>
  <si>
    <t>&lt;option value="product_name:desc"&gt;Name Z–A&lt;/option&gt;</t>
  </si>
  <si>
    <t>&lt;option value="in_hand:asc"&gt;In Hand ↑&lt;/option&gt;</t>
  </si>
  <si>
    <t>&lt;option value="in_hand:desc"&gt;In Hand ↓&lt;/option&gt;</t>
  </si>
  <si>
    <t>&lt;/select&gt;</t>
  </si>
  <si>
    <t>.tbl-wrap {</t>
  </si>
  <si>
    <t>overflow-x: auto;</t>
  </si>
  <si>
    <t>&lt;span id="inv-count" style="font-size:13px;color:var(--muted);font-weight:500;"&gt;&lt;/span&gt;</t>
  </si>
  <si>
    <t>table {</t>
  </si>
  <si>
    <t>&lt;div id="inv-table"&gt;&lt;div class="loader"&gt;&lt;/div&gt;&lt;/div&gt;</t>
  </si>
  <si>
    <t>&lt;div class="pag" id="inv-pag" style="display:none;"&gt;&lt;/div&gt;</t>
  </si>
  <si>
    <t>border-collapse: collapse;</t>
  </si>
  <si>
    <t>&lt;!-- ════ UPDATE STOCK ════ --&gt;</t>
  </si>
  <si>
    <t>&lt;div id="tab-update-stock" class="fade-in" hidden&gt;</t>
  </si>
  <si>
    <t>padding: 9px 14px;</t>
  </si>
  <si>
    <t>&lt;div class="card" style="max-width: 900px; margin: 0 auto 24px;"&gt;</t>
  </si>
  <si>
    <t>text-align: left;</t>
  </si>
  <si>
    <t>border-bottom: 2px solid var(--border);</t>
  </si>
  <si>
    <t>&lt;div class="card-title"&gt;Update Existing Stock&lt;/div&gt;</t>
  </si>
  <si>
    <t>&lt;div class="slabel"&gt;Lookup Product&lt;/div&gt;</t>
  </si>
  <si>
    <t>&lt;div style="display:flex;gap:12px;align-items:flex-end;flex-wrap:wrap;"&gt;</t>
  </si>
  <si>
    <t>&lt;div class="field" style="flex:1;min-width:240px;"&gt;</t>
  </si>
  <si>
    <t>&lt;input type="text" id="us-style" list="products-list" class="mono" placeholder="Enter Style No. (e.g. VH-EP10_)" style="padding:12px 16px;font-size:15px;"&gt;</t>
  </si>
  <si>
    <t>&lt;button class="btn btn-primary" style="padding:12px 24px;" onclick="loadProd4Update()"&gt;Load Product&lt;/button&gt;</t>
  </si>
  <si>
    <t>table th.sortable {</t>
  </si>
  <si>
    <t>&lt;div id="us-area" style="display:none; animation: slideUpFade 0.3s ease forwards;"&gt;</t>
  </si>
  <si>
    <t>&lt;div class="product-banner" id="us-banner"&gt;&lt;/div&gt;</t>
  </si>
  <si>
    <t>&lt;div style="margin:24px 0 16px; display:flex; align-items:center; justify-content:space-between;"&gt;</t>
  </si>
  <si>
    <t>table th.sortable:hover {</t>
  </si>
  <si>
    <t>&lt;div class="mode-row"&gt;</t>
  </si>
  <si>
    <t>&lt;button id="m-add" class="mode-btn on" onclick="setMode('add')"&gt;Modify (+/-)&lt;/button&gt;</t>
  </si>
  <si>
    <t>&lt;button id="m-set" class="mode-btn" onclick="setMode('set')"&gt;Overwrite (=)&lt;/button&gt;</t>
  </si>
  <si>
    <t>table th.sort-asc::after {</t>
  </si>
  <si>
    <t>&lt;span id="m-hint" style="font-size:13px;color:var(--muted);font-weight:500;"&gt;Enter units to add (use negative to deduct)&lt;/span&gt;</t>
  </si>
  <si>
    <t>content: ' ↑';</t>
  </si>
  <si>
    <t>color: var(--blue);</t>
  </si>
  <si>
    <t>&lt;div class="tbl-wrap" style="border:1px solid var(--border);border-radius:var(--r);overflow:hidden;"&gt;</t>
  </si>
  <si>
    <t>&lt;table style="margin:0;"&gt;</t>
  </si>
  <si>
    <t>table th.sort-desc::after {</t>
  </si>
  <si>
    <t>&lt;thead style="background:var(--surface2);"&gt;</t>
  </si>
  <si>
    <t>content: ' ↓';</t>
  </si>
  <si>
    <t>&lt;tr&gt;&lt;th&gt;Size&lt;/th&gt;&lt;th style="text-align:center;"&gt;Current&lt;/th&gt;&lt;th&gt;Adjust Quantity&lt;/th&gt;&lt;th&gt;Preview Result&lt;/th&gt;&lt;/tr&gt;</t>
  </si>
  <si>
    <t>&lt;/thead&gt;</t>
  </si>
  <si>
    <t>&lt;tbody id="sg-tbody"&gt;&lt;/tbody&gt;</t>
  </si>
  <si>
    <t>&lt;/table&gt;</t>
  </si>
  <si>
    <t>table td {</t>
  </si>
  <si>
    <t>vertical-align: middle;</t>
  </si>
  <si>
    <t>&lt;div class="field"&gt;</t>
  </si>
  <si>
    <t>&lt;label&gt;Reason / Notes &lt;span class="req"&gt;*&lt;/span&gt;&lt;/label&gt;</t>
  </si>
  <si>
    <t>&lt;input type="text" id="us-notes" placeholder="e.g. Physical stock count / Restock batch #3"&gt;</t>
  </si>
  <si>
    <t>table tbody tr:hover td {</t>
  </si>
  <si>
    <t>&lt;div class="item-summary" id="us-summary"&gt;No changes entered&lt;/div&gt;</t>
  </si>
  <si>
    <t>table tbody tr:last-child td {</t>
  </si>
  <si>
    <t>border-bottom: none;</t>
  </si>
  <si>
    <t>&lt;button class="btn btn-ghost" onclick="resetUS()"&gt;Reset&lt;/button&gt;</t>
  </si>
  <si>
    <t>&lt;button class="btn btn-primary" id="us-btn" onclick="submitUS()"&gt;Save Stock Update&lt;/button&gt;</t>
  </si>
  <si>
    <t>/* Inventory — 4-col square tile grid */</t>
  </si>
  <si>
    <t>.inv-cards-list {</t>
  </si>
  <si>
    <t>padding: 14px 16px;</t>
  </si>
  <si>
    <t>&lt;div id="us-ph" class="empty"&gt;</t>
  </si>
  <si>
    <t>grid-template-columns: repeat(4, 1fr);</t>
  </si>
  <si>
    <t>&lt;strong&gt;No product loaded&lt;/strong&gt;Search and load a product to manage its inventory.</t>
  </si>
  <si>
    <t>@media(max-width:1100px) {</t>
  </si>
  <si>
    <t>&lt;!-- Add New Product --&gt;</t>
  </si>
  <si>
    <t>grid-template-columns: repeat(3, 1fr);</t>
  </si>
  <si>
    <t>&lt;div class="card-hd"&gt;&lt;div class="card-title"&gt;Register New Product&lt;/div&gt;&lt;/div&gt;</t>
  </si>
  <si>
    <t>&lt;div class="slabel"&gt;Product Core Details&lt;/div&gt;</t>
  </si>
  <si>
    <t>@media(max-width:720px) {</t>
  </si>
  <si>
    <t>&lt;div class="fg" style="margin-bottom:24px;"&gt;</t>
  </si>
  <si>
    <t>&lt;div class="field"&gt;&lt;label&gt;Style No. &lt;span class="req"&gt;*&lt;/span&gt;&lt;/label&gt;&lt;input type="text" id="np-style" class="mono" placeholder="e.g. VH-NEW01" oninput="npPreview()"&gt;&lt;/div&gt;</t>
  </si>
  <si>
    <t>grid-template-columns: repeat(2, 1fr);</t>
  </si>
  <si>
    <t>&lt;div class="field"&gt;&lt;label&gt;Product Name &lt;span class="req"&gt;*&lt;/span&gt;&lt;/label&gt;&lt;input type="text" id="np-name" placeholder="e.g. Premium Linen Shirt" oninput="npPreview()"&gt;&lt;/div&gt;</t>
  </si>
  <si>
    <t>&lt;div class="field"&gt;&lt;label&gt;Fabric (Optional)&lt;/label&gt;&lt;input type="text" id="np-fabric" placeholder="e.g. 100% Cotton"&gt;&lt;/div&gt;</t>
  </si>
  <si>
    <t>&lt;div class="slabel"&gt;Sales Channels&lt;/div&gt;</t>
  </si>
  <si>
    <t>@media(max-width:420px) {</t>
  </si>
  <si>
    <t>&lt;div id="np-ch" style="display:flex;flex-wrap:wrap;gap:10px;margin-bottom:24px;"&gt;&lt;/div&gt;</t>
  </si>
  <si>
    <t>&lt;div class="slabel"&gt;Initial Opening Stock&lt;/div&gt;</t>
  </si>
  <si>
    <t>&lt;div id="np-sg" style="display:grid;grid-template-columns:repeat(auto-fit,minmax(120px,1fr));gap:16px;margin-bottom:16px;"&gt;&lt;/div&gt;</t>
  </si>
  <si>
    <t>&lt;div id="np-ih-prev" style="font-size:14px;color:var(--ink2);font-weight:500;padding:12px;background:var(--surface2);border-radius:var(--r);"&gt;&lt;/div&gt;</t>
  </si>
  <si>
    <t>border-radius: 10px;</t>
  </si>
  <si>
    <t>&lt;div class="item-summary" id="np-summary"&gt;Fill in style no. and name to begin&lt;/div&gt;</t>
  </si>
  <si>
    <t>&lt;button class="btn btn-ghost" onclick="resetNP()"&gt;Clear Form&lt;/button&gt;</t>
  </si>
  <si>
    <t>transition: box-shadow .15s, border-color .15s, transform .1s;</t>
  </si>
  <si>
    <t>&lt;button class="btn btn-primary" id="np-btn" onclick="submitNP()"&gt;Register Product&lt;/button&gt;</t>
  </si>
  <si>
    <t>.inv-tile:hover {</t>
  </si>
  <si>
    <t>box-shadow: var(--shadow);</t>
  </si>
  <si>
    <t>&lt;!-- ════ MOVEMENTS ════ --&gt;</t>
  </si>
  <si>
    <t>transform: translateY(-1px);</t>
  </si>
  <si>
    <t>&lt;div id="tab-movements" class="fade-in" hidden&gt;</t>
  </si>
  <si>
    <t>.inv-tile.open {</t>
  </si>
  <si>
    <t>&lt;div class="card-title"&gt;Inventory Movement Log&lt;/div&gt;</t>
  </si>
  <si>
    <t>border-color: #93c5fd;</t>
  </si>
  <si>
    <t>&lt;button class="btn btn-secondary btn-sm" onclick="loadMov()"&gt;Refresh Log&lt;/button&gt;</t>
  </si>
  <si>
    <t>box-shadow: 0 0 0 2px #bfdbfe;</t>
  </si>
  <si>
    <t>&lt;div class="tbl-wrap" id="mov-table"&gt;&lt;div class="loader"&gt;&lt;/div&gt;&lt;/div&gt;</t>
  </si>
  <si>
    <t>/* Hero image area — the prominent product photo at the top of the tile */</t>
  </si>
  <si>
    <t>.inv-tile-hero {</t>
  </si>
  <si>
    <t>&lt;!-- ════ PRODUCTION ════ --&gt;</t>
  </si>
  <si>
    <t>height: 200px;</t>
  </si>
  <si>
    <t>&lt;div id="tab-production" class="fade-in" hidden&gt;</t>
  </si>
  <si>
    <t>background: #f4f4f0;</t>
  </si>
  <si>
    <t>&lt;div class="kpi-grid" id="prod-kpi"&gt;&lt;div class="loader"&gt;&lt;/div&gt;&lt;/div&gt;</t>
  </si>
  <si>
    <t>&lt;div class="card-title"&gt;Production vs. Sales Analytics&lt;/div&gt;</t>
  </si>
  <si>
    <t>&lt;span style="font-size:12px;color:var(--muted);" id="prod-sync"&gt;Auto-refresh 30s&lt;/span&gt;</t>
  </si>
  <si>
    <t>.inv-tile-hero img {</t>
  </si>
  <si>
    <t>&lt;input type="text" id="prod-search" placeholder="Search style or product…" oninput="prodResetPage()"&gt;</t>
  </si>
  <si>
    <t>&lt;div style="display:flex;align-items:center;gap:12px;margin-left:auto;"&gt;</t>
  </si>
  <si>
    <t>object-fit: cover;</t>
  </si>
  <si>
    <t>&lt;select class="mono" id="prod-sort" onchange="prodResetPage()" style="width:180px;"&gt;</t>
  </si>
  <si>
    <t>display: block;</t>
  </si>
  <si>
    <t>&lt;option value="manufactured:desc"&gt;Highest Produced&lt;/option&gt;</t>
  </si>
  <si>
    <t>&lt;option value="sold:desc"&gt;Highest Sold&lt;/option&gt;</t>
  </si>
  <si>
    <t>&lt;option value="sell_through:desc"&gt;Best Sell-through&lt;/option&gt;</t>
  </si>
  <si>
    <t>.inv-tile-hero .hero-placeholder {</t>
  </si>
  <si>
    <t>&lt;option value="in_hand:desc"&gt;Most In-Hand&lt;/option&gt;</t>
  </si>
  <si>
    <t>&lt;button class="btn btn-ghost btn-sm" onclick="loadProduction()"&gt;Refresh&lt;/button&gt;</t>
  </si>
  <si>
    <t>&lt;div class="tbl-wrap" id="prod-table"&gt;&lt;div class="loader"&gt;&lt;/div&gt;&lt;/div&gt;</t>
  </si>
  <si>
    <t>&lt;div class="pag" id="prod-pag" style="display:none;"&gt;&lt;/div&gt;</t>
  </si>
  <si>
    <t>font-size: 46px;</t>
  </si>
  <si>
    <t>&lt;!-- ════ REQUISITION ════ --&gt;</t>
  </si>
  <si>
    <t>&lt;div id="tab-requisition" class="fade-in" hidden&gt;</t>
  </si>
  <si>
    <t>&lt;div class="kpi-grid" id="req-kpi"&gt;&lt;div class="loader"&gt;&lt;/div&gt;&lt;/div&gt;</t>
  </si>
  <si>
    <t>.inv-tile-hero .hero-placeholder .ph-hint {</t>
  </si>
  <si>
    <t>&lt;div style="display:flex;gap:12px;margin-bottom:24px;border-bottom:1px solid var(--border);padding-bottom:12px;"&gt;</t>
  </si>
  <si>
    <t>&lt;button class="btn btn-secondary" id="reqst-issue" onclick="reqSubTab('issue')" style="border-radius:var(--r-pill);"&gt;Issue Fabric&lt;/button&gt;</t>
  </si>
  <si>
    <t>&lt;button class="btn btn-secondary" id="reqst-open" onclick="reqSubTab('open')" style="border-radius:var(--r-pill);"&gt;Open Requisitions&lt;/button&gt;</t>
  </si>
  <si>
    <t>&lt;button class="btn btn-secondary" id="reqst-history" onclick="reqSubTab('history')" style="border-radius:var(--r-pill);"&gt;History&lt;/button&gt;</t>
  </si>
  <si>
    <t>&lt;button class="btn btn-secondary" id="reqst-insights" onclick="reqSubTab('insights')" style="border-radius:var(--r-pill);"&gt;Loss Insights&lt;/button&gt;</t>
  </si>
  <si>
    <t>opacity: .55;</t>
  </si>
  <si>
    <t>&lt;!-- SUB: Issue Fabric Form --&gt;</t>
  </si>
  <si>
    <t>&lt;div id="req-panel-issue" class="fade-in"&gt;</t>
  </si>
  <si>
    <t>.inv-tile-top {</t>
  </si>
  <si>
    <t>padding: 12px 14px 8px;</t>
  </si>
  <si>
    <t>&lt;div class="card-hd"&gt;&lt;div class="card-title"&gt;Issue Fabric for Manufacturing&lt;/div&gt;&lt;/div&gt;</t>
  </si>
  <si>
    <t>.inv-tile-avatar {</t>
  </si>
  <si>
    <t>&lt;div class="field"&gt;&lt;label&gt;Master / Tailor Name *&lt;/label&gt;&lt;input type="text" id="rq-master" placeholder="e.g. Raju Bhai"&gt;&lt;/div&gt;</t>
  </si>
  <si>
    <t>width: 38px;</t>
  </si>
  <si>
    <t>&lt;div class="field"&gt;&lt;label&gt;Fabric Name *&lt;/label&gt;&lt;input type="text" id="rq-fabric" placeholder="e.g. Cotton Twill Navy"&gt;&lt;/div&gt;</t>
  </si>
  <si>
    <t>height: 38px;</t>
  </si>
  <si>
    <t>&lt;div class="fg" style="margin-top:20px;"&gt;</t>
  </si>
  <si>
    <t>&lt;div class="field"&gt;&lt;label&gt;Meters Issued *&lt;/label&gt;&lt;input type="number" id="rq-meters" class="mono" min="0.1" step="0.1" placeholder="e.g. 20"&gt;&lt;/div&gt;</t>
  </si>
  <si>
    <t>&lt;div class="field"&gt;&lt;label&gt;Notes / Instructions&lt;/label&gt;&lt;input type="text" id="rq-notes" placeholder="Any special instructions"&gt;&lt;/div&gt;</t>
  </si>
  <si>
    <t>&lt;div style="display:flex;align-items:center;justify-content:space-between;margin-bottom:16px;"&gt;</t>
  </si>
  <si>
    <t>&lt;div class="slabel" style="margin:0;"&gt;Expected Styles&lt;/div&gt;</t>
  </si>
  <si>
    <t>&lt;button class="btn btn-secondary btn-sm" onclick="addReqItem()"&gt;+ Add Style&lt;/button&gt;</t>
  </si>
  <si>
    <t>&lt;div id="rq-items-list" style="display:flex;flex-direction:column;gap:16px;"&gt;&lt;/div&gt;</t>
  </si>
  <si>
    <t>.inv-tile-name {</t>
  </si>
  <si>
    <t>&lt;div id="rq-summary" class="item-summary"&gt;No items added&lt;/div&gt;</t>
  </si>
  <si>
    <t>&lt;button class="btn btn-ghost" onclick="resetReqForm()"&gt;Clear All&lt;/button&gt;</t>
  </si>
  <si>
    <t>line-height: 1.35;</t>
  </si>
  <si>
    <t>&lt;button class="btn btn-primary" id="rq-submit-btn" onclick="submitReqFn()"&gt;Issue Requisition&lt;/button&gt;</t>
  </si>
  <si>
    <t>display: -webkit-box;</t>
  </si>
  <si>
    <t>-webkit-line-clamp: 2;</t>
  </si>
  <si>
    <t>-webkit-box-orient: vertical;</t>
  </si>
  <si>
    <t>min-height: 36px;</t>
  </si>
  <si>
    <t>&lt;!-- SUB: Open Requisitions --&gt;</t>
  </si>
  <si>
    <t>.inv-tile-style {</t>
  </si>
  <si>
    <t>&lt;div id="req-panel-open" class="fade-in" style="display:none;"&gt;</t>
  </si>
  <si>
    <t>&lt;div class="card-title"&gt;Awaiting Finished Goods&lt;/div&gt;</t>
  </si>
  <si>
    <t>margin-top: 4px;</t>
  </si>
  <si>
    <t>&lt;button class="btn btn-secondary btn-sm" onclick="loadReqOpen()"&gt;Refresh List&lt;/button&gt;</t>
  </si>
  <si>
    <t>&lt;div class="card-body p0" id="req-open-list"&gt;&lt;div class="loader"&gt;&lt;/div&gt;&lt;/div&gt;</t>
  </si>
  <si>
    <t>.inv-tile-bottom {</t>
  </si>
  <si>
    <t>&lt;!-- SUB: History --&gt;</t>
  </si>
  <si>
    <t>&lt;div id="req-panel-history" class="fade-in" style="display:none;"&gt;</t>
  </si>
  <si>
    <t>padding: 8px 14px 12px;</t>
  </si>
  <si>
    <t>&lt;div class="card-title"&gt;Requisition History&lt;/div&gt;</t>
  </si>
  <si>
    <t>&lt;select id="req-hist-filter" class="mono" style="width:200px;" onchange="loadReqHistory()"&gt;</t>
  </si>
  <si>
    <t>margin-top: auto;</t>
  </si>
  <si>
    <t>&lt;option value=""&gt;All statuses&lt;/option&gt;</t>
  </si>
  <si>
    <t>&lt;option value="RECEIVED"&gt;Received&lt;/option&gt;</t>
  </si>
  <si>
    <t>&lt;option value="CANCELLED"&gt;Cancelled&lt;/option&gt;</t>
  </si>
  <si>
    <t>.inv-tile-num {</t>
  </si>
  <si>
    <t>&lt;option value="OPEN"&gt;Open&lt;/option&gt;</t>
  </si>
  <si>
    <t>&lt;div class="tbl-wrap" id="req-hist-table"&gt;&lt;div class="loader"&gt;&lt;/div&gt;&lt;/div&gt;</t>
  </si>
  <si>
    <t>.inv-tile-unit {</t>
  </si>
  <si>
    <t>&lt;!-- SUB: Loss Insights --&gt;</t>
  </si>
  <si>
    <t>&lt;div id="req-panel-insights" class="fade-in" style="display:none;"&gt;</t>
  </si>
  <si>
    <t>font-size: 9px;</t>
  </si>
  <si>
    <t>&lt;div class="card-hd"&gt;&lt;div class="card-title"&gt;Loss Analysis &amp; Master Efficiency&lt;/div&gt;&lt;/div&gt;</t>
  </si>
  <si>
    <t>&lt;div class="card-body p0" id="req-insights-body"&gt;&lt;div class="loader"&gt;&lt;/div&gt;&lt;/div&gt;</t>
  </si>
  <si>
    <t>&lt;!-- Receive Modal (hidden) --&gt;</t>
  </si>
  <si>
    <t>&lt;div id="req-recv-modal" style="display:none;position:fixed;top:0;left:0;right:0;bottom:0;background:rgba(15,23,42,0.6);backdrop-filter:blur(4px);z-index:1000;overflow-y:auto;padding:24px;"&gt;</t>
  </si>
  <si>
    <t>.inv-tile-chev {</t>
  </si>
  <si>
    <t>&lt;div class="fade-in" style="max-width:1000px;width:96%;margin:40px auto;background:var(--surface);border-radius:20px;box-shadow:var(--shadow-floating);overflow:hidden;"&gt;</t>
  </si>
  <si>
    <t>&lt;div&gt;&lt;div style="font-weight:600;font-size:18px;"&gt;Receive Goods&lt;/div&gt;&lt;div class="mono" style="font-size:13px;opacity:.7;margin-top:2px;" id="recv-title"&gt;&lt;/div&gt;&lt;/div&gt;</t>
  </si>
  <si>
    <t>&lt;button onclick="closeRecvModal()" style="background:none;border:none;color:#fff;font-size:28px;cursor:pointer;line-height:1;opacity:0.7;"&gt;&amp;times;&lt;/button&gt;</t>
  </si>
  <si>
    <t>&lt;div id="recv-body" style="padding:24px;"&gt;&lt;/div&gt;</t>
  </si>
  <si>
    <t>.inv-tile.open .inv-tile-chev {</t>
  </si>
  <si>
    <t>&lt;div style="padding:20px 24px;border-top:1px solid var(--border);display:flex;justify-content:space-between;align-items:center;background:var(--surface2);"&gt;</t>
  </si>
  <si>
    <t>transform: rotate(90deg);</t>
  </si>
  <si>
    <t>&lt;div id="recv-summary" style="font-size:15px;font-weight:600;"&gt;&lt;/div&gt;</t>
  </si>
  <si>
    <t>&lt;button class="btn btn-ghost" onclick="closeRecvModal()"&gt;Cancel&lt;/button&gt;</t>
  </si>
  <si>
    <t>.inv-tile-detail {</t>
  </si>
  <si>
    <t>&lt;button class="btn btn-primary" id="recv-submit-btn" onclick="submitReceiveFn()" disabled&gt;Confirm &amp; Add Stock&lt;/button&gt;</t>
  </si>
  <si>
    <t>border-top: 1px solid #e0e7ff;</t>
  </si>
  <si>
    <t>background: #f0f4ff;</t>
  </si>
  <si>
    <t>padding: 10px 12px;</t>
  </si>
  <si>
    <t>.inv-sz-row {</t>
  </si>
  <si>
    <t>&lt;/div&gt;&lt;!-- /content --&gt;</t>
  </si>
  <si>
    <t>&lt;/div&gt;&lt;!-- /main-wrap --&gt;</t>
  </si>
  <si>
    <t>&lt;/div&gt;&lt;!-- /shell --&gt;</t>
  </si>
  <si>
    <t>&lt;div class="toasts" id="toasts"&gt;&lt;/div&gt;</t>
  </si>
  <si>
    <t>&lt;script&gt;</t>
  </si>
  <si>
    <t>.inv-sz-cell {</t>
  </si>
  <si>
    <t>// ═══════════════════════════════════════════</t>
  </si>
  <si>
    <t>// STATE &amp; CONSTANTS</t>
  </si>
  <si>
    <t>const S={config:null,products:[],productMap:{},lineItems:[],invTimer:null,</t>
  </si>
  <si>
    <t>gap: 2px;</t>
  </si>
  <si>
    <t>inv:{filtered:[],page:1,ps:20,sortCol:'product_name',sortDir:'asc'},</t>
  </si>
  <si>
    <t>padding: 6px 4px;</t>
  </si>
  <si>
    <t>us:{prod:null,mode:'add',inputs:{}},</t>
  </si>
  <si>
    <t>border-radius: 6px;</t>
  </si>
  <si>
    <t>np:{sizes:{},channels:[]},</t>
  </si>
  <si>
    <t>prod:{data:null, timer:null, page:1, ps:12},</t>
  </si>
  <si>
    <t>req:{items:[],openReqs:[],stats:null},</t>
  </si>
  <si>
    <t>.inv-sz-cell .szl {</t>
  </si>
  <si>
    <t>ord:{all:[],filtered:[],page:1,ps:15,sortCol:'order_date',sortDir:'desc'}};</t>
  </si>
  <si>
    <t>const TAB_META={</t>
  </si>
  <si>
    <t>dashboard': {title:'Dashboard',sub:'Overview &amp; key metrics'},</t>
  </si>
  <si>
    <t>letter-spacing: .08em;</t>
  </si>
  <si>
    <t>new-order':  {title:'New Order',sub:'Record a sale or dispatch'},</t>
  </si>
  <si>
    <t>opacity: .75;</t>
  </si>
  <si>
    <t>orders':     {title:'Orders',sub:'Order history &amp; management'},</t>
  </si>
  <si>
    <t>inventory':  {title:'Live Inventory',sub:'Real-time stock levels'},</t>
  </si>
  <si>
    <t>update-stock':{title:'Stock Management',sub:'Update or add products'},</t>
  </si>
  <si>
    <t>.inv-sz-cell .szv {</t>
  </si>
  <si>
    <t>movements':  {title:'Movement Log',sub:'Full audit trail of every change'},</t>
  </si>
  <si>
    <t>production': {title:'Production Analytics',sub:'Made vs sold per product'},</t>
  </si>
  <si>
    <t>requisition':{title:'Manufacturing',sub:'Fabric issue · stitching · receiving'}</t>
  </si>
  <si>
    <t>};</t>
  </si>
  <si>
    <t>// UTILS</t>
  </si>
  <si>
    <t>.num {</t>
  </si>
  <si>
    <t>const esc=s=&gt;String(s??'').replace(/&amp;/g,'&amp;amp;').replace(/&lt;/g,'&amp;lt;').replace(/&gt;/g,'&amp;gt;').replace(/"/g,'&amp;quot;');</t>
  </si>
  <si>
    <t>font-variant-numeric: tabular-nums;</t>
  </si>
  <si>
    <t>const today=()=&gt;new Date().toISOString().slice(0,10);</t>
  </si>
  <si>
    <t>function toast(msg,type='info'){</t>
  </si>
  <si>
    <t>const el=document.createElement('div');</t>
  </si>
  <si>
    <t>.sc {</t>
  </si>
  <si>
    <t>el.className='toast '+type;</t>
  </si>
  <si>
    <t>el.innerHTML=`</t>
  </si>
  <si>
    <t>&lt;svg width="20" height="20" fill="none" stroke="currentColor" viewBox="0 0 24 24" style="flex-shrink:0;"&gt;</t>
  </si>
  <si>
    <t>${type==='success'?'&lt;path stroke-linecap="round" stroke-linejoin="round" stroke-width="2" d="M5 13l4 4L19 7"/&gt;':</t>
  </si>
  <si>
    <t>border-radius: 3px;</t>
  </si>
  <si>
    <t>type==='error'?'&lt;path stroke-linecap="round" stroke-linejoin="round" stroke-width="2" d="M6 18L18 6M6 6l12 12"/&gt;':</t>
  </si>
  <si>
    <t>&lt;circle cx="12" cy="12" r="10"/&gt;&lt;path d="M12 8v4m0 4h.01"/&gt;'}</t>
  </si>
  <si>
    <t>&lt;/svg&gt;</t>
  </si>
  <si>
    <t>.sc.z {</t>
  </si>
  <si>
    <t>&lt;span&gt;${msg}&lt;/span&gt;</t>
  </si>
  <si>
    <t>color: #c0bcb5;</t>
  </si>
  <si>
    <t>`;</t>
  </si>
  <si>
    <t>document.getElementById('toasts').appendChild(el);</t>
  </si>
  <si>
    <t>setTimeout(()=&gt;{el.style.opacity='0';el.style.transform='translateX(20px)';el.style.transition='all 0.3s';},3500);</t>
  </si>
  <si>
    <t>.sc.lo {</t>
  </si>
  <si>
    <t>setTimeout(()=&gt;el.remove(),4000);</t>
  </si>
  <si>
    <t>// IMAGE HELPERS</t>
  </si>
  <si>
    <t>.sc.md {</t>
  </si>
  <si>
    <t>function imgUrl(id, size){</t>
  </si>
  <si>
    <t>if(!id) return '';</t>
  </si>
  <si>
    <t>return 'https://drive.google.com/thumbnail?id=' + id + '&amp;sz=w' + (size || 300);</t>
  </si>
  <si>
    <t>.sc.ok {</t>
  </si>
  <si>
    <t>function compressImage(file, maxDim, quality){</t>
  </si>
  <si>
    <t>color: var(--ink2);</t>
  </si>
  <si>
    <t>maxDim = maxDim || 800;</t>
  </si>
  <si>
    <t>quality = quality || 0.85;</t>
  </si>
  <si>
    <t>return new Promise(function(resolve, reject){</t>
  </si>
  <si>
    <t>.ih {</t>
  </si>
  <si>
    <t>var reader = new FileReader();</t>
  </si>
  <si>
    <t>reader.onload = function(e){</t>
  </si>
  <si>
    <t>var img = new Image();</t>
  </si>
  <si>
    <t>img.onload = function(){</t>
  </si>
  <si>
    <t>var w = img.width, h = img.height;</t>
  </si>
  <si>
    <t>.ih.lo {</t>
  </si>
  <si>
    <t>if(w &gt;= h &amp;&amp; w &gt; maxDim){ h = Math.round(h * maxDim / w); w = maxDim; }</t>
  </si>
  <si>
    <t>else if(h &gt; maxDim){ w = Math.round(w * maxDim / h); h = maxDim; }</t>
  </si>
  <si>
    <t>var c = document.createElement('canvas');</t>
  </si>
  <si>
    <t>c.width = w; c.height = h;</t>
  </si>
  <si>
    <t>/* ── TOOLBAR (inventory) ────────────────────────── */</t>
  </si>
  <si>
    <t>c.getContext('2d').drawImage(img, 0, 0, w, h);</t>
  </si>
  <si>
    <t>var dataUrl = c.toDataURL('image/jpeg', quality);</t>
  </si>
  <si>
    <t>padding: 12px 20px;</t>
  </si>
  <si>
    <t>resolve({ base64: dataUrl.split(',')[1], mime: 'image/jpeg' });</t>
  </si>
  <si>
    <t>img.onerror = reject;</t>
  </si>
  <si>
    <t>img.src = e.target.result;</t>
  </si>
  <si>
    <t>reader.onerror = reject;</t>
  </si>
  <si>
    <t>reader.readAsDataURL(file);</t>
  </si>
  <si>
    <t>});</t>
  </si>
  <si>
    <t>.search-wrap {</t>
  </si>
  <si>
    <t>function pickAndUploadImage(styleNo, opts){</t>
  </si>
  <si>
    <t>opts = opts || {};</t>
  </si>
  <si>
    <t>min-width: 200px;</t>
  </si>
  <si>
    <t>var input = document.createElement('input');</t>
  </si>
  <si>
    <t>max-width: 380px;</t>
  </si>
  <si>
    <t>input.type = 'file';</t>
  </si>
  <si>
    <t>input.accept = 'image/jpeg,image/png,image/webp';</t>
  </si>
  <si>
    <t>input.onchange = function(){</t>
  </si>
  <si>
    <t>.search-wrap svg {</t>
  </si>
  <si>
    <t>var file = input.files[0];</t>
  </si>
  <si>
    <t>if(!file) return;</t>
  </si>
  <si>
    <t>left: 10px;</t>
  </si>
  <si>
    <t>if(file.size &gt; 15 * 1024 * 1024){ return toast('Image too large (max 15 MB)','error'); }</t>
  </si>
  <si>
    <t>top: 50%;</t>
  </si>
  <si>
    <t>toast('Uploading image…','info');</t>
  </si>
  <si>
    <t>transform: translateY(-50%);</t>
  </si>
  <si>
    <t>compressImage(file).then(function(payload){</t>
  </si>
  <si>
    <t>google.script.run</t>
  </si>
  <si>
    <t>.withSuccessHandler(function(r){</t>
  </si>
  <si>
    <t>if(r &amp;&amp; r.success){</t>
  </si>
  <si>
    <t>pointer-events: none;</t>
  </si>
  <si>
    <t>toast('Image saved successfully','success');</t>
  </si>
  <si>
    <t>loadProds(function(){</t>
  </si>
  <si>
    <t>if(S.us.prod &amp;&amp; S.us.prod.style_no === styleNo){</t>
  </si>
  <si>
    <t>.search-wrap input {</t>
  </si>
  <si>
    <t>S.us.prod = S.productMap[styleNo] || S.us.prod;</t>
  </si>
  <si>
    <t>padding-left: 32px;</t>
  </si>
  <si>
    <t>renderUSBanner();</t>
  </si>
  <si>
    <t>filterInv({keepPage:true});</t>
  </si>
  <si>
    <t>.pag {</t>
  </si>
  <si>
    <t>renderItems();</t>
  </si>
  <si>
    <t>if(opts.onSuccess) opts.onSuccess(r);</t>
  </si>
  <si>
    <t>} else {</t>
  </si>
  <si>
    <t>toast((r &amp;&amp; r.error) || 'Upload failed','error');</t>
  </si>
  <si>
    <t>})</t>
  </si>
  <si>
    <t>.withFailureHandler(function(e){ toast('Error: ' + e.message,'error'); })</t>
  </si>
  <si>
    <t>.uploadProductImage({</t>
  </si>
  <si>
    <t>style_no: styleNo,</t>
  </si>
  <si>
    <t>image_base64: payload.base64,</t>
  </si>
  <si>
    <t>.pag-info {</t>
  </si>
  <si>
    <t>mime_type: payload.mime,</t>
  </si>
  <si>
    <t>filename: file.name</t>
  </si>
  <si>
    <t>}).catch(function(){</t>
  </si>
  <si>
    <t>toast('Could not process image','error');</t>
  </si>
  <si>
    <t>.pag-btns {</t>
  </si>
  <si>
    <t>input.click();</t>
  </si>
  <si>
    <t>gap: 4px;</t>
  </si>
  <si>
    <t>function removeProductImageFn(styleNo){</t>
  </si>
  <si>
    <t>if(!confirm('Remove image for ' + styleNo + '?')) return;</t>
  </si>
  <si>
    <t>.pb {</t>
  </si>
  <si>
    <t>toast('Image removed','success');</t>
  </si>
  <si>
    <t>loadProds(function(){ filterInv(); renderItems(); });</t>
  </si>
  <si>
    <t>toast((r &amp;&amp; r.error) || 'Failed','error');</t>
  </si>
  <si>
    <t>.removeProductImage(styleNo);</t>
  </si>
  <si>
    <t>.pb:hover:not(:disabled) {</t>
  </si>
  <si>
    <t>// SIDEBAR &amp; TABS</t>
  </si>
  <si>
    <t>.pb.on {</t>
  </si>
  <si>
    <t>function switchTab(name){</t>
  </si>
  <si>
    <t>document.querySelectorAll('.sb-item').forEach(b=&gt;b.classList.toggle('active',b.dataset.tab===name));</t>
  </si>
  <si>
    <t>document.querySelectorAll('[id^="tab-"]').forEach(s=&gt; {</t>
  </si>
  <si>
    <t>s.hidden = s.id !== 'tab-' + name;</t>
  </si>
  <si>
    <t>if(!s.hidden) {</t>
  </si>
  <si>
    <t>.pb:disabled {</t>
  </si>
  <si>
    <t>s.classList.remove('fade-in');</t>
  </si>
  <si>
    <t>void s.offsetWidth;</t>
  </si>
  <si>
    <t>s.classList.add('fade-in');</t>
  </si>
  <si>
    <t>/* ── ORDER CARDS ────────────────────────────────── */</t>
  </si>
  <si>
    <t>const m=TAB_META[name]||{title:name,sub:''};</t>
  </si>
  <si>
    <t>.order-card {</t>
  </si>
  <si>
    <t>document.getElementById('tb-title').textContent=m.title;</t>
  </si>
  <si>
    <t>document.getElementById('tb-sub').textContent=m.sub;</t>
  </si>
  <si>
    <t>if(S.invTimer){clearInterval(S.invTimer);S.invTimer=null;}</t>
  </si>
  <si>
    <t>if(S.prod &amp;&amp; S.prod.timer){clearInterval(S.prod.timer);S.prod.timer=null;}</t>
  </si>
  <si>
    <t>if(name==='dashboard')    loadDashboard();</t>
  </si>
  <si>
    <t>if(name==='orders')       loadOrders();</t>
  </si>
  <si>
    <t>.oc-head {</t>
  </si>
  <si>
    <t>if(name==='movements')    loadMov();</t>
  </si>
  <si>
    <t>if(name==='inventory'){   loadInv(); S.invTimer=setInterval(function(){loadInv({keepPage:true});},10000); }</t>
  </si>
  <si>
    <t>grid-template-columns: 200px 100px 1fr 80px 110px auto;</t>
  </si>
  <si>
    <t>if(name==='update-stock') {if(!S.products.length)loadProds();}</t>
  </si>
  <si>
    <t>if(name==='production'){  loadProduction(); S.prod.timer=setInterval(loadProduction,30000); }</t>
  </si>
  <si>
    <t>if(name==='requisition'){ loadReqTab(); }</t>
  </si>
  <si>
    <t>const c=document.querySelector('.content');</t>
  </si>
  <si>
    <t>if(c) c.scrollTop=0;</t>
  </si>
  <si>
    <t>.oc-head:hover {</t>
  </si>
  <si>
    <t>// INIT</t>
  </si>
  <si>
    <t>.oc-id {</t>
  </si>
  <si>
    <t>window.addEventListener('DOMContentLoaded',()=&gt;{</t>
  </si>
  <si>
    <t>if(typeof google === 'undefined') {</t>
  </si>
  <si>
    <t>// Mock init for preview outside Apps Script</t>
  </si>
  <si>
    <t>document.getElementById('sb-email').textContent = 'admin@vhagar.com';</t>
  </si>
  <si>
    <t>document.getElementById('sb-avatar').textContent = 'A';</t>
  </si>
  <si>
    <t>switchTab('dashboard');</t>
  </si>
  <si>
    <t>return;</t>
  </si>
  <si>
    <t>.oc-date {</t>
  </si>
  <si>
    <t>.withSuccessHandler(c=&gt;{S.config=c;afterConfig();})</t>
  </si>
  <si>
    <t>.withFailureHandler(e=&gt;toast('Config error: '+e.message,'error'))</t>
  </si>
  <si>
    <t>.getConfig();</t>
  </si>
  <si>
    <t>.oc-buyer {</t>
  </si>
  <si>
    <t>function afterConfig(){</t>
  </si>
  <si>
    <t>const e=S.config.user_email||'';</t>
  </si>
  <si>
    <t>document.getElementById('sb-email').textContent=e;</t>
  </si>
  <si>
    <t>document.getElementById('sb-avatar').textContent=e?e[0].toUpperCase():'?';</t>
  </si>
  <si>
    <t>.oc-contact {</t>
  </si>
  <si>
    <t>const fCh=document.getElementById('f-channel');</t>
  </si>
  <si>
    <t>S.config.channels.forEach(c=&gt;fCh.innerHTML+=`&lt;option value="${c}"&gt;${c}&lt;/option&gt;`);</t>
  </si>
  <si>
    <t>const fSt=document.getElementById('f-status');</t>
  </si>
  <si>
    <t>S.config.statuses.forEach(s=&gt;fSt.innerHTML+=`&lt;option value="${s}" ${s==='Confirmed'?'selected':''}&gt;${s}&lt;/option&gt;`);</t>
  </si>
  <si>
    <t>.oc-qty {</t>
  </si>
  <si>
    <t>var ofCh=document.getElementById('of-channel');</t>
  </si>
  <si>
    <t>if(ofCh) S.config.channels.forEach(function(c){ofCh.innerHTML+='&lt;option value="'+c+'"&gt;'+c+'&lt;/option&gt;';});</t>
  </si>
  <si>
    <t>var ofSt=document.getElementById('of-status');</t>
  </si>
  <si>
    <t>if(ofSt) S.config.statuses.forEach(function(s){ofSt.innerHTML+='&lt;option value="'+s+'"&gt;'+s+'&lt;/option&gt;';});</t>
  </si>
  <si>
    <t>text-align: right;</t>
  </si>
  <si>
    <t>document.getElementById('f-date').value=today();</t>
  </si>
  <si>
    <t>loadProds(()=&gt;{addLineItem();initNP();});</t>
  </si>
  <si>
    <t>.oc-body {</t>
  </si>
  <si>
    <t>padding: 0 16px 14px;</t>
  </si>
  <si>
    <t>display: none;</t>
  </si>
  <si>
    <t>// PRODUCTS</t>
  </si>
  <si>
    <t>function loadProds(cb){</t>
  </si>
  <si>
    <t>.order-card.open .oc-body {</t>
  </si>
  <si>
    <t>.withSuccessHandler(p=&gt;{S.products=p||[];S.productMap={};p.forEach(x=&gt;S.productMap[x.style_no]=x);refreshDL();if(cb)cb();})</t>
  </si>
  <si>
    <t>.withFailureHandler(e=&gt;toast('Products error: '+e.message,'error'))</t>
  </si>
  <si>
    <t>.getProducts();</t>
  </si>
  <si>
    <t>.order-card.open .chev {</t>
  </si>
  <si>
    <t>transform: rotate(180deg);</t>
  </si>
  <si>
    <t>function refreshDL(){</t>
  </si>
  <si>
    <t>const dl=document.getElementById('products-list');</t>
  </si>
  <si>
    <t>if(dl) dl.innerHTML=S.products.map(p=&gt;`&lt;option value="${p.style_no}"&gt;${p.product_name} · In stock: ${p.in_hand}&lt;/option&gt;`).join('');</t>
  </si>
  <si>
    <t>.chev {</t>
  </si>
  <si>
    <t>// NEW ORDER</t>
  </si>
  <si>
    <t>.oc-items .row {</t>
  </si>
  <si>
    <t>function addLineItem(){</t>
  </si>
  <si>
    <t>const id='li_'+Date.now()+'_'+Math.random().toString(36).slice(2,5);</t>
  </si>
  <si>
    <t>grid-template-columns: 1fr 80px 60px;</t>
  </si>
  <si>
    <t>S.lineItems.push({id,style_no:'',size:'',quantity:1}); renderItems();</t>
  </si>
  <si>
    <t>padding: 5px 0;</t>
  </si>
  <si>
    <t>function removeLineItem(id){S.lineItems=S.lineItems.filter(i=&gt;i.id!==id);if(!S.lineItems.length)addLineItem();else renderItems();}</t>
  </si>
  <si>
    <t>function updateItem(id,f,v){const i=S.lineItems.find(x=&gt;x.id===id);if(i){i[f]=v;renderItems();}}</t>
  </si>
  <si>
    <t>border-bottom: 1px dashed var(--border);</t>
  </si>
  <si>
    <t>function renderItems(){</t>
  </si>
  <si>
    <t>document.getElementById('items-list').innerHTML=S.lineItems.map(it=&gt;{</t>
  </si>
  <si>
    <t>const p=S.productMap[it.style_no];</t>
  </si>
  <si>
    <t>.oc-items .row:last-child {</t>
  </si>
  <si>
    <t>const av=p&amp;&amp;it.size?p.sizes[it.size]??0:null;</t>
  </si>
  <si>
    <t>let cls='',txt='Select Size';</t>
  </si>
  <si>
    <t>if(av!==null){txt=`Avail: &lt;strong style="font-size:14px; margin-left:4px;"&gt;${av}&lt;/strong&gt;`;cls=av===0?'zero':av&lt;=3?'low':'';}</t>
  </si>
  <si>
    <t>const thumb = (p &amp;&amp; p.image_id)</t>
  </si>
  <si>
    <t>.oc-meta {</t>
  </si>
  <si>
    <t>? `&lt;img src="${imgUrl(p.image_id,80)}" style="width:36px;height:36px;border-radius:6px;object-fit:cover;margin-right:10px;box-shadow:var(--shadow-xs);" onerror="this.style.display='none';"&gt;`</t>
  </si>
  <si>
    <t>: '';</t>
  </si>
  <si>
    <t>return `&lt;div class="item-row"&gt;</t>
  </si>
  <si>
    <t>padding-top: 8px;</t>
  </si>
  <si>
    <t>&lt;div class="field"&gt;&lt;label&gt;Style No.&lt;/label&gt;</t>
  </si>
  <si>
    <t>&lt;input class="mono" list="products-list" value="${esc(it.style_no)}" placeholder="Type to search..."</t>
  </si>
  <si>
    <t>oninput="updateItem('${it.id}','style_no',this.value.trim())"&gt;</t>
  </si>
  <si>
    <t>${p?`&lt;div style="font-size:12px;color:var(--muted);margin-top:8px;display:flex;align-items:center;"&gt;${thumb}&lt;span style="font-weight:500;color:var(--ink);"&gt;${esc(p.product_name)}&lt;/span&gt;&lt;/div&gt;`:''}</t>
  </si>
  <si>
    <t>&lt;div class="field"&gt;&lt;label&gt;Size&lt;/label&gt;</t>
  </si>
  <si>
    <t>.oc-meta .lbl {</t>
  </si>
  <si>
    <t>&lt;select onchange="updateItem('${it.id}','size',this.value)"&gt;</t>
  </si>
  <si>
    <t>&lt;option value=""&gt;—&lt;/option&gt;</t>
  </si>
  <si>
    <t>${(S.config?.sizes||['S','M','L','XL','2XL','3XL']).map(s=&gt;`&lt;option value="${s}" ${s===it.size?'selected':''}&gt;${s}&lt;/option&gt;`).join('')}</t>
  </si>
  <si>
    <t>&lt;div class="field"&gt;&lt;label&gt;Qty&lt;/label&gt;</t>
  </si>
  <si>
    <t>&lt;input type="number" class="mono" min="1" value="${it.quantity}"</t>
  </si>
  <si>
    <t>oninput="updateItem('${it.id}','quantity',parseInt(this.value)||0)"&gt;</t>
  </si>
  <si>
    <t>&lt;div class="item-avail ${cls}"&gt;${txt}&lt;/div&gt;</t>
  </si>
  <si>
    <t>&lt;button class="rm-btn" onclick="removeLineItem('${it.id}')"&gt;&amp;times;&lt;/button&gt;</t>
  </si>
  <si>
    <t>&lt;/div&gt;`;</t>
  </si>
  <si>
    <t>}).join('');</t>
  </si>
  <si>
    <t>const v=S.lineItems.filter(i=&gt;i.style_no&amp;&amp;i.size&amp;&amp;i.quantity&gt;0);</t>
  </si>
  <si>
    <t>const q=v.reduce((s,i)=&gt;s+i.quantity,0);</t>
  </si>
  <si>
    <t>padding: 3px 8px;</t>
  </si>
  <si>
    <t>document.getElementById('order-summary').innerHTML=v.length?`&lt;strong&gt;${v.length}&lt;/strong&gt; unique styles &amp;nbsp;&amp;middot;&amp;nbsp; &lt;strong&gt;${q}&lt;/strong&gt; total units`:' No items added';</t>
  </si>
  <si>
    <t>border: 1px solid;</t>
  </si>
  <si>
    <t>function resetOrderForm(){</t>
  </si>
  <si>
    <t>['f-buyer-name','f-buyer-contact','f-notes'].forEach(id=&gt;document.getElementById(id).value='');</t>
  </si>
  <si>
    <t>document.getElementById('f-channel').selectedIndex=0;</t>
  </si>
  <si>
    <t>.b-ch {</t>
  </si>
  <si>
    <t>document.getElementById('f-status').value='Confirmed';</t>
  </si>
  <si>
    <t>S.lineItems=[];addLineItem();</t>
  </si>
  <si>
    <t>function submitOrderFn(){</t>
  </si>
  <si>
    <t>const ch=document.getElementById('f-channel').value;</t>
  </si>
  <si>
    <t>.b-Pending {</t>
  </si>
  <si>
    <t>const bn=document.getElementById('f-buyer-name').value.trim();</t>
  </si>
  <si>
    <t>background: var(--amber-s);</t>
  </si>
  <si>
    <t>const bc=document.getElementById('f-buyer-contact').value.trim();</t>
  </si>
  <si>
    <t>if(!ch)return toast('Select a channel','error');</t>
  </si>
  <si>
    <t>if(!bn)return toast('Buyer name is required','error');</t>
  </si>
  <si>
    <t>if(!bc)return toast('Buyer contact is required','error');</t>
  </si>
  <si>
    <t>const items=S.lineItems.filter(i=&gt;i.style_no&amp;&amp;i.size&amp;&amp;i.quantity&gt;0).map(i=&gt;({style_no:i.style_no,size:i.size,quantity:i.quantity}));</t>
  </si>
  <si>
    <t>.b-Confirmed {</t>
  </si>
  <si>
    <t>if(!items.length)return toast('Add at least one valid line item','error');</t>
  </si>
  <si>
    <t>background: var(--green-s);</t>
  </si>
  <si>
    <t>for(const it of items){const p=S.productMap[it.style_no];if(!p)return toast('Unknown product: '+it.style_no,'error');if((p.sizes[it.size]??0)&lt;it.quantity)return toast(`Insufficient stock: ${it.style_no} Size ${it.size}`,'error');}</t>
  </si>
  <si>
    <t>color: var(--green);</t>
  </si>
  <si>
    <t>border-color: var(--green);</t>
  </si>
  <si>
    <t>const btn=document.getElementById('submit-btn');btn.disabled=true;btn.textContent='Submitting...';</t>
  </si>
  <si>
    <t>.withSuccessHandler(r=&gt;{</t>
  </si>
  <si>
    <t>.b-Shipped {</t>
  </si>
  <si>
    <t>btn.disabled=false;btn.textContent='Submit Order';</t>
  </si>
  <si>
    <t>background: var(--blue-s);</t>
  </si>
  <si>
    <t>if(r.success){toast(`Order ${r.order_id} recorded successfully`,'success');resetOrderForm();loadProds();}</t>
  </si>
  <si>
    <t>else{toast(r.error||'Submission failed','error');loadProds();}</t>
  </si>
  <si>
    <t>.withFailureHandler(e=&gt;{btn.disabled=false;btn.textContent='Submit Order';toast('System error: '+e.message,'error');})</t>
  </si>
  <si>
    <t>.submitOrder({channel:ch,order_date:document.getElementById('f-date').value,</t>
  </si>
  <si>
    <t>.b-Delivered {</t>
  </si>
  <si>
    <t>status:document.getElementById('f-status').value,buyer_name:bn,buyer_contact:bc,</t>
  </si>
  <si>
    <t>notes:document.getElementById('f-notes').value.trim(),items});</t>
  </si>
  <si>
    <t>// ORDERS LIST</t>
  </si>
  <si>
    <t>.b-Cancelled {</t>
  </si>
  <si>
    <t>let _odt;function debOrders(){clearTimeout(_odt);_odt=setTimeout(function(){S.ord.page=1;filterOrders();},300);}</t>
  </si>
  <si>
    <t>function loadOrders(){</t>
  </si>
  <si>
    <t>document.getElementById('orders-table').innerHTML='&lt;div class="loader"&gt;Loading Orders...&lt;/div&gt;';</t>
  </si>
  <si>
    <t>.withSuccessHandler(function(orders){</t>
  </si>
  <si>
    <t>.b-Returned {</t>
  </si>
  <si>
    <t>S.ord.all=orders||[];</t>
  </si>
  <si>
    <t>S.ord.page=1;</t>
  </si>
  <si>
    <t>filterOrders();</t>
  </si>
  <si>
    <t>.withFailureHandler(function(e){document.getElementById('orders-table').innerHTML='&lt;div class="empty"&gt;Failed to load orders: '+e.message+'&lt;/div&gt;';})</t>
  </si>
  <si>
    <t>.getOrders({});</t>
  </si>
  <si>
    <t>.b-SALE {</t>
  </si>
  <si>
    <t>function filterOrders(){</t>
  </si>
  <si>
    <t>var orders=S.ord.all.slice();</t>
  </si>
  <si>
    <t>var ch=document.getElementById('of-channel').value;</t>
  </si>
  <si>
    <t>var st=document.getElementById('of-status').value;</t>
  </si>
  <si>
    <t>var from=document.getElementById('of-from').value;</t>
  </si>
  <si>
    <t>.b-CANCEL,</t>
  </si>
  <si>
    <t>var to=document.getElementById('of-to').value;</t>
  </si>
  <si>
    <t>.b-RESTOCK {</t>
  </si>
  <si>
    <t>var q=(document.getElementById('of-search').value||'').toLowerCase().trim();</t>
  </si>
  <si>
    <t>if(ch) orders=orders.filter(function(o){return o.channel===ch;});</t>
  </si>
  <si>
    <t>if(st) orders=orders.filter(function(o){return o.status===st;});</t>
  </si>
  <si>
    <t>if(from) orders=orders.filter(function(o){return o.order_date&gt;=from;});</t>
  </si>
  <si>
    <t>if(to) orders=orders.filter(function(o){return o.order_date&lt;=to;});</t>
  </si>
  <si>
    <t>.b-MANUAL_SET,</t>
  </si>
  <si>
    <t>if(q) orders=orders.filter(function(o){</t>
  </si>
  <si>
    <t>.b-MANUAL_ADJUST {</t>
  </si>
  <si>
    <t>return (o.order_id||'').toLowerCase().indexOf(q)&gt;=0</t>
  </si>
  <si>
    <t>||(o.buyer_name||'').toLowerCase().indexOf(q)&gt;=0</t>
  </si>
  <si>
    <t>||(o.buyer_contact||'').toLowerCase().indexOf(q)&gt;=0</t>
  </si>
  <si>
    <t>||o.items.some(function(it){return (it.style_no||'').toLowerCase().indexOf(q)&gt;=0||(it.product_name||'').toLowerCase().indexOf(q)&gt;=0;});</t>
  </si>
  <si>
    <t>.b-NEW_PRODUCT {</t>
  </si>
  <si>
    <t>orders.sort(function(a,b){</t>
  </si>
  <si>
    <t>background: var(--purple-s);</t>
  </si>
  <si>
    <t>var col=S.ord.sortCol,dir=S.ord.sortDir;</t>
  </si>
  <si>
    <t>color: var(--purple);</t>
  </si>
  <si>
    <t>var va=a[col]||'',vb=b[col]||'';</t>
  </si>
  <si>
    <t>border-color: var(--purple);</t>
  </si>
  <si>
    <t>if(typeof va==='number') return dir==='asc'?va-vb:vb-va;</t>
  </si>
  <si>
    <t>return dir==='asc'?String(va).localeCompare(String(vb)):String(vb).localeCompare(String(va));</t>
  </si>
  <si>
    <t>/* ── CHARTS ─────────────────────────────────────── */</t>
  </si>
  <si>
    <t>.ch-bar-row {</t>
  </si>
  <si>
    <t>S.ord.filtered=orders;</t>
  </si>
  <si>
    <t>var maxP=Math.max(1,Math.ceil(orders.length/S.ord.ps));</t>
  </si>
  <si>
    <t>if(S.ord.page&gt;maxP) S.ord.page=maxP;</t>
  </si>
  <si>
    <t>renderOrdersTable();</t>
  </si>
  <si>
    <t>function ordGoPage(p){var mx=Math.ceil(S.ord.filtered.length/S.ord.ps);S.ord.page=Math.max(1,Math.min(p,mx));renderOrdersTable();}</t>
  </si>
  <si>
    <t>function ordSort(col){</t>
  </si>
  <si>
    <t>.ch-bar-row:last-child {</t>
  </si>
  <si>
    <t>if(S.ord.sortCol===col) S.ord.sortDir=S.ord.sortDir==='asc'?'desc':'asc';</t>
  </si>
  <si>
    <t>margin-bottom: 0;</t>
  </si>
  <si>
    <t>else{S.ord.sortCol=col;S.ord.sortDir='desc';}</t>
  </si>
  <si>
    <t>.ch-bar-label {</t>
  </si>
  <si>
    <t>function renderOrdersTable(){</t>
  </si>
  <si>
    <t>var orders=S.ord.filtered;</t>
  </si>
  <si>
    <t>var ps=S.ord.ps,page=S.ord.page;</t>
  </si>
  <si>
    <t>var total=orders.length,pages=Math.max(1,Math.ceil(total/ps));</t>
  </si>
  <si>
    <t>var start=(page-1)*ps,slice=orders.slice(start,start+ps);</t>
  </si>
  <si>
    <t>width: 68px;</t>
  </si>
  <si>
    <t>var totalUnits=0;orders.forEach(function(o){if(o.status!=='Cancelled')totalUnits+=(o.total_quantity||0);});</t>
  </si>
  <si>
    <t>var summary=document.getElementById('orders-summary');</t>
  </si>
  <si>
    <t>if(summary) summary.innerHTML= `&lt;strong&gt;${total}&lt;/strong&gt; orders &amp;nbsp;&amp;middot;&amp;nbsp; &lt;strong&gt;${totalUnits}&lt;/strong&gt; units`;</t>
  </si>
  <si>
    <t>.ch-bar-track {</t>
  </si>
  <si>
    <t>if(!total){</t>
  </si>
  <si>
    <t>document.getElementById('orders-table').innerHTML='&lt;div class="empty"&gt;&lt;strong&gt;No orders found matching criteria&lt;/strong&gt;&lt;br&gt;Try adjusting your filters.&lt;/div&gt;';</t>
  </si>
  <si>
    <t>document.getElementById('orders-pag').style.display='none';</t>
  </si>
  <si>
    <t>border-radius: 4px;</t>
  </si>
  <si>
    <t>var chColors={'Shopify':'#10b981','Flipkart':'#2563eb','Amazon':'#f59e0b','Meesho':'#8b5cf6','Direct':'#ef4444'};</t>
  </si>
  <si>
    <t>var arrow=function(col){ return S.ord.sortCol!==col ? '' : (S.ord.sortDir==='asc'?' &amp;uarr;':' &amp;darr;'); };</t>
  </si>
  <si>
    <t>.ch-bar-fill {</t>
  </si>
  <si>
    <t>var html='&lt;table&gt;&lt;thead&gt;&lt;tr&gt;'</t>
  </si>
  <si>
    <t>transition: width .6s ease;</t>
  </si>
  <si>
    <t>min-width: 2px;</t>
  </si>
  <si>
    <t>.ch-bar-val {</t>
  </si>
  <si>
    <t>width: 40px;</t>
  </si>
  <si>
    <t>for(var i=0;i&lt;slice.length;i++){</t>
  </si>
  <si>
    <t>var o=slice[i];</t>
  </si>
  <si>
    <t>var chColor=chColors[o.channel]||'#64748b';</t>
  </si>
  <si>
    <t>var productList=o.items.map(function(it){return esc(it.style_no);}).join(', ');</t>
  </si>
  <si>
    <t>/* Ring chart */</t>
  </si>
  <si>
    <t>var statusCls={'Confirmed':'b-Confirmed','Pending':'b-Pending','Cancelled':'b-Cancelled','Delivered':'b-Delivered','Shipped':'b-Shipped','Returned':'b-Returned'};</t>
  </si>
  <si>
    <t>.ring-wrap {</t>
  </si>
  <si>
    <t>html+=`&lt;tr style="cursor:pointer;" onclick="showOrdDetail('${o.order_id}')"&gt;</t>
  </si>
  <si>
    <t>&lt;td class="mono" style="font-size:12px;color:var(--muted);"&gt;${esc(o.order_date)}&lt;/td&gt;</t>
  </si>
  <si>
    <t>gap: 18px;</t>
  </si>
  <si>
    <t>&lt;td class="mono" style="font-size:12px;font-weight:600;color:var(--ink);"&gt;${esc(o.order_id).replace(/^ORD-\d{8}-/,'…')}&lt;/td&gt;</t>
  </si>
  <si>
    <t>&lt;td&gt;&lt;span style="display:inline-flex;align-items:center;gap:6px;font-size:12px;font-weight:600;color:var(--ink2);"&gt;&lt;span style="width:8px;height:8px;border-radius:50%;background:${chColor};"&gt;&lt;/span&gt;${esc(o.channel)}&lt;/span&gt;&lt;/td&gt;</t>
  </si>
  <si>
    <t>&lt;td&gt;&lt;div style="font-weight:600;color:var(--ink);"&gt;${esc(o.buyer_name)}&lt;/div&gt;&lt;div style="font-size:11px;color:var(--muted);margin-top:2px;"&gt;${esc(o.buyer_contact)}&lt;/div&gt;&lt;/td&gt;</t>
  </si>
  <si>
    <t>.ring-labels {</t>
  </si>
  <si>
    <t>&lt;td class="mono" style="font-size:11px;max-width:200px;overflow:hidden;text-overflow:ellipsis;white-space:nowrap;color:var(--muted);"&gt;${productList}&lt;/td&gt;</t>
  </si>
  <si>
    <t>&lt;td class="mono" style="text-align:right;font-weight:700;font-size:15px;color:var(--ink);"&gt;${o.total_quantity}&lt;/td&gt;</t>
  </si>
  <si>
    <t>&lt;td&gt;&lt;span class="badge ${statusCls[o.status]||''}"&gt;${esc(o.status)}&lt;/span&gt;&lt;/td&gt;</t>
  </si>
  <si>
    <t>&lt;td style="text-align:center;color:var(--border2);"&gt;&amp;rsaquo;&lt;/td&gt;</t>
  </si>
  <si>
    <t>.ring-lbl-row {</t>
  </si>
  <si>
    <t>&lt;/tr&gt;`;</t>
  </si>
  <si>
    <t>html+='&lt;/tbody&gt;&lt;/table&gt;';</t>
  </si>
  <si>
    <t>document.getElementById('orders-table').innerHTML=html;</t>
  </si>
  <si>
    <t>var pe=document.getElementById('orders-pag');</t>
  </si>
  <si>
    <t>if(pages&lt;=1){pe.style.display='none';return;}</t>
  </si>
  <si>
    <t>pe.style.display='flex';</t>
  </si>
  <si>
    <t>var end=Math.min(start+ps,total);</t>
  </si>
  <si>
    <t>.ring-lbl-row:last-child {</t>
  </si>
  <si>
    <t>var nums=[];for(var k=1;k&lt;=pages;k++){if(k===1||k===pages||(k&gt;=page-2&amp;&amp;k&lt;=page+2))nums.push(k);else if(nums[nums.length-1]!=='…')nums.push('…');}</t>
  </si>
  <si>
    <t>pe.innerHTML=`&lt;span class="pag-info"&gt;Showing &lt;strong&gt;${start+1}–${end}&lt;/strong&gt; of &lt;strong&gt;${total}&lt;/strong&gt;&lt;/span&gt;</t>
  </si>
  <si>
    <t>&lt;div class="pag-btns"&gt;</t>
  </si>
  <si>
    <t>.ring-dot {</t>
  </si>
  <si>
    <t>&lt;button class="pb" onclick="ordGoPage(${page-1})" ${page&lt;=1?'disabled':''}&gt;&amp;larr; Prev&lt;/button&gt;</t>
  </si>
  <si>
    <t>${nums.map(n=&gt;n==='…'?'&lt;span style="padding:0 8px;color:var(--muted);"&gt;…&lt;/span&gt;':`&lt;button class="pb${n===page?' on':''}" onclick="ordGoPage(${n})"&gt;${n}&lt;/button&gt;`).join('')}</t>
  </si>
  <si>
    <t>&lt;button class="pb" onclick="ordGoPage(${page+1})" ${page&gt;=pages?'disabled':''}&gt;Next &amp;rarr;&lt;/button&gt;</t>
  </si>
  <si>
    <t>margin-right: 6px;</t>
  </si>
  <si>
    <t>function showOrdDetail(orderId){</t>
  </si>
  <si>
    <t>var o=S.ord.all.find(function(x){return x.order_id===orderId;});</t>
  </si>
  <si>
    <t>/* ── FILTERS ─────────────────────────────────────── */</t>
  </si>
  <si>
    <t>if(!o){toast('Order not found','error');return;}</t>
  </si>
  <si>
    <t>.filters {</t>
  </si>
  <si>
    <t>document.getElementById('ord-modal-id').textContent=o.order_id;</t>
  </si>
  <si>
    <t>grid-template-columns: repeat(auto-fit, minmax(130px, 1fr));</t>
  </si>
  <si>
    <t>var html=`</t>
  </si>
  <si>
    <t>/* ── UPDATE STOCK ───────────────────────────────── */</t>
  </si>
  <si>
    <t>&lt;div style="display:flex;justify-content:space-between;align-items:flex-start;margin-bottom:24px;"&gt;</t>
  </si>
  <si>
    <t>&lt;div style="font-size:20px;font-weight:700;letter-spacing:-0.02em;"&gt;${esc(o.buyer_name)}&lt;/div&gt;</t>
  </si>
  <si>
    <t>&lt;div style="font-size:13px;color:var(--muted);margin-top:4px;"&gt;${esc(o.buyer_contact)}&lt;/div&gt;</t>
  </si>
  <si>
    <t>&lt;div style="text-align:right;"&gt;</t>
  </si>
  <si>
    <t>&lt;span class="badge ${statusCls[o.status]||''}"&gt;${esc(o.status)}&lt;/span&gt;</t>
  </si>
  <si>
    <t>&lt;div style="margin-top:8px;display:flex;align-items:center;gap:6px;justify-content:flex-end;font-weight:600;font-size:13px;color:var(--ink2);"&gt;</t>
  </si>
  <si>
    <t>&lt;span style="width:10px;height:10px;border-radius:50%;background:${chColor};"&gt;&lt;/span&gt;${esc(o.channel)}</t>
  </si>
  <si>
    <t>.pb-name {</t>
  </si>
  <si>
    <t>&lt;div style="display:grid;grid-template-columns:1fr 1fr;gap:16px;margin-bottom:24px;"&gt;</t>
  </si>
  <si>
    <t>&lt;div style="background:var(--surface2);padding:16px 20px;border-radius:12px;border:1px solid var(--border);"&gt;</t>
  </si>
  <si>
    <t>&lt;div style="font-size:11px;color:var(--muted);text-transform:uppercase;letter-spacing:0.05em;font-weight:600;"&gt;Order Date&lt;/div&gt;</t>
  </si>
  <si>
    <t>&lt;div class="mono" style="font-size:16px;font-weight:600;margin-top:4px;color:var(--ink);"&gt;${esc(o.order_date)}&lt;/div&gt;</t>
  </si>
  <si>
    <t>&lt;div style="background:var(--amber-l);padding:16px 20px;border-radius:12px;border:1px solid #fef3c7;"&gt;</t>
  </si>
  <si>
    <t>.pb-style {</t>
  </si>
  <si>
    <t>&lt;div style="font-size:11px;color:#b45309;text-transform:uppercase;letter-spacing:0.05em;font-weight:600;"&gt;Total Quantity&lt;/div&gt;</t>
  </si>
  <si>
    <t>&lt;div class="mono" style="font-size:16px;font-weight:700;margin-top:4px;color:#d97706;"&gt;${o.total_quantity} unit${o.total_quantity&gt;1?'s':''}&lt;/div&gt;</t>
  </si>
  <si>
    <t>opacity: .6;</t>
  </si>
  <si>
    <t>&lt;div style="font-weight:700;font-size:14px;margin-bottom:12px;text-transform:uppercase;letter-spacing:0.05em;color:var(--muted);"&gt;Line Items&lt;/div&gt;</t>
  </si>
  <si>
    <t>&lt;div style="border:1px solid var(--border);border-radius:12px;overflow:hidden;margin-bottom:24px;"&gt;</t>
  </si>
  <si>
    <t>.pb-ih {</t>
  </si>
  <si>
    <t>&lt;tr&gt;&lt;th&gt;Style No.&lt;/th&gt;&lt;th&gt;Product Name&lt;/th&gt;&lt;th style="text-align:center;"&gt;Size&lt;/th&gt;&lt;th style="text-align:right;"&gt;Qty&lt;/th&gt;&lt;/tr&gt;</t>
  </si>
  <si>
    <t>.pb-ih-label {</t>
  </si>
  <si>
    <t>&lt;tbody&gt;</t>
  </si>
  <si>
    <t>${o.items.map(it=&gt;`</t>
  </si>
  <si>
    <t>&lt;tr&gt;</t>
  </si>
  <si>
    <t>&lt;td class="mono" style="font-size:13px;color:var(--blue);font-weight:600;"&gt;${esc(it.style_no)}&lt;/td&gt;</t>
  </si>
  <si>
    <t>&lt;td style="font-weight:500;"&gt;${esc(it.product_name)}&lt;/td&gt;</t>
  </si>
  <si>
    <t>&lt;td class="mono" style="text-align:center;font-weight:600;"&gt;${esc(it.size)}&lt;/td&gt;</t>
  </si>
  <si>
    <t>&lt;td class="mono" style="text-align:right;font-weight:700;font-size:15px;"&gt;${it.quantity}&lt;/td&gt;</t>
  </si>
  <si>
    <t>&lt;/tr&gt;</t>
  </si>
  <si>
    <t>.pb-ih-val {</t>
  </si>
  <si>
    <t>`).join('')}</t>
  </si>
  <si>
    <t>&lt;/tbody&gt;</t>
  </si>
  <si>
    <t>font-size: 28px;</t>
  </si>
  <si>
    <t>&lt;div style="font-size:12px;color:var(--muted);background:var(--surface2);padding:12px 16px;border-radius:8px;"&gt;</t>
  </si>
  <si>
    <t>&lt;div&gt;Recorded &lt;span class="mono"&gt;${esc(o.submitted_at)}&lt;/span&gt; by &lt;strong&gt;${esc(o.submitted_by)}&lt;/strong&gt;&lt;/div&gt;</t>
  </si>
  <si>
    <t>.mode-row {</t>
  </si>
  <si>
    <t>${o.notes?`&lt;div style="margin-top:6px;padding-top:6px;border-top:1px solid var(--border2);color:var(--ink2);"&gt;&lt;strong&gt;Notes:&lt;/strong&gt; ${esc(o.notes)}&lt;/div&gt;`:''}</t>
  </si>
  <si>
    <t>if(o.status!=='Cancelled' &amp;&amp; o.status!=='Returned'){</t>
  </si>
  <si>
    <t>width: fit-content;</t>
  </si>
  <si>
    <t>html+=`&lt;div style="margin-top:24px;display:flex;justify-content:flex-end;"&gt;</t>
  </si>
  <si>
    <t>&lt;button class="btn btn-danger-soft" onclick="cancelOrd('${o.order_id}');closeOrdModal();"&gt;Revoke &amp; Cancel Order&lt;/button&gt;</t>
  </si>
  <si>
    <t>.mode-btn {</t>
  </si>
  <si>
    <t>document.getElementById('ord-modal-body').innerHTML=html;</t>
  </si>
  <si>
    <t>document.getElementById('order-detail-modal').style.display='block';</t>
  </si>
  <si>
    <t>function closeOrdModal(){document.getElementById('order-detail-modal').style.display='none';}</t>
  </si>
  <si>
    <t>border: none;</t>
  </si>
  <si>
    <t>function cancelOrd(id){</t>
  </si>
  <si>
    <t>border-right: 1px solid var(--border);</t>
  </si>
  <si>
    <t>if(!confirm('Are you sure you want to cancel order '+id+'?\nStock will be restored for all items.'))return;</t>
  </si>
  <si>
    <t>.withSuccessHandler(function(r){if(r.success){toast(`Order Cancelled. ${r.items_restored} items restocked.`,'success');loadOrders();}else toast(r.error||'Cancellation failed','error');})</t>
  </si>
  <si>
    <t>.withFailureHandler(function(e){toast('System Error: '+e.message,'error');})</t>
  </si>
  <si>
    <t>.cancelOrder(id);</t>
  </si>
  <si>
    <t>.mode-btn:last-child {</t>
  </si>
  <si>
    <t>border-right: none;</t>
  </si>
  <si>
    <t>// INVENTORY</t>
  </si>
  <si>
    <t>.mode-btn.on {</t>
  </si>
  <si>
    <t>function loadInv(opts){</t>
  </si>
  <si>
    <t>if(!opts?.keepPage) document.getElementById('inv-table').innerHTML='&lt;div class="loader"&gt;Syncing Stock Data...&lt;/div&gt;';</t>
  </si>
  <si>
    <t>.withSuccessHandler(p=&gt;{S.products=p||[];S.productMap={};p.forEach(x=&gt;S.productMap[x.style_no]=x);refreshDL();filterInv(opts);})</t>
  </si>
  <si>
    <t>.sg {</t>
  </si>
  <si>
    <t>.withFailureHandler(e=&gt;{document.getElementById('inv-table').innerHTML=`&lt;div class="empty"&gt;Connection Failed: ${e.message}&lt;/div&gt;`;})</t>
  </si>
  <si>
    <t>function filterInv(opts){</t>
  </si>
  <si>
    <t>const keepPage = !!(opts &amp;&amp; opts.keepPage);</t>
  </si>
  <si>
    <t>.sg th,</t>
  </si>
  <si>
    <t>const q=(document.getElementById('inv-search')?.value||'').toLowerCase().trim();</t>
  </si>
  <si>
    <t>.sg td {</t>
  </si>
  <si>
    <t>let f=q?S.products.filter(p=&gt;p.style_no.toLowerCase().includes(q)||p.product_name.toLowerCase().includes(q)):[...S.products];</t>
  </si>
  <si>
    <t>f.sort((a,b)=&gt;{</t>
  </si>
  <si>
    <t>let va=a[S.inv.sortCol]??'',vb=b[S.inv.sortCol]??'';</t>
  </si>
  <si>
    <t>if(typeof va==='number')return S.inv.sortDir==='asc'?va-vb:vb-va;</t>
  </si>
  <si>
    <t>return S.inv.sortDir==='asc'?String(va).localeCompare(String(vb)):String(vb).localeCompare(String(va));</t>
  </si>
  <si>
    <t>.sg th {</t>
  </si>
  <si>
    <t>S.inv.filtered=f;</t>
  </si>
  <si>
    <t>if(!keepPage){ S.inv.page=1; }</t>
  </si>
  <si>
    <t>else {</t>
  </si>
  <si>
    <t>const maxPage=Math.max(1,Math.ceil(f.length/S.inv.ps));</t>
  </si>
  <si>
    <t>if(S.inv.page&gt;maxPage) S.inv.page=maxPage;</t>
  </si>
  <si>
    <t>renderInvPage();</t>
  </si>
  <si>
    <t>.sg tr:last-child td {</t>
  </si>
  <si>
    <t>function invSortChange(){</t>
  </si>
  <si>
    <t>const val=(document.getElementById('inv-sort')?.value||'product_name:asc').split(':');</t>
  </si>
  <si>
    <t>S.inv.sortCol=val[0];S.inv.sortDir=val[1];filterInv();</t>
  </si>
  <si>
    <t>function goPage(p){const mx=Math.ceil(S.inv.filtered.length/S.inv.ps);S.inv.page=Math.max(1,Math.min(p,mx));renderInvPage();}</t>
  </si>
  <si>
    <t>.sg-cur {</t>
  </si>
  <si>
    <t>function renderInvPage(){</t>
  </si>
  <si>
    <t>const{filtered,page,ps}=S.inv;</t>
  </si>
  <si>
    <t>const sizes=S.config?.sizes||['S','M','L','XL','2XL','3XL'];</t>
  </si>
  <si>
    <t>const total=filtered.length,pages=Math.max(1,Math.ceil(total/ps));</t>
  </si>
  <si>
    <t>const start=(page-1)*ps,slice=filtered.slice(start,start+ps);</t>
  </si>
  <si>
    <t>const q=(document.getElementById('inv-search')?.value||'').trim();</t>
  </si>
  <si>
    <t>const ce=document.getElementById('inv-count');</t>
  </si>
  <si>
    <t>.sg-cur.z {</t>
  </si>
  <si>
    <t>if(ce) ce.textContent=q?`Showing ${total} of ${S.products.length} SKUs`:`${total} Total SKUs tracked`;</t>
  </si>
  <si>
    <t>document.getElementById('inv-table').innerHTML=`&lt;div class="empty"&gt;&lt;strong&gt;No products found${q?' matching "'+esc(q)+'"':''}&lt;/strong&gt;&lt;br&gt;${q?'Adjust your search criteria.':'Register products in the Stock Management tab.'}&lt;/div&gt;`;</t>
  </si>
  <si>
    <t>.sg-cur.lo {</t>
  </si>
  <si>
    <t>document.getElementById('inv-pag').style.display='none';return;</t>
  </si>
  <si>
    <t>const cards=slice.map((p,idx)=&gt;{</t>
  </si>
  <si>
    <t>.sg-prev {</t>
  </si>
  <si>
    <t>const ih=p.in_hand;</t>
  </si>
  <si>
    <t>const numColor=ih===0?'var(--muted)':ih&lt;=3?'var(--red)':'var(--green)';</t>
  </si>
  <si>
    <t>const palettes=[{bg:'#dbeafe',fg:'#1d4ed8'},{bg:'#d1fae5',fg:'#047857'},{bg:'#fef3c7',fg:'#b45309'},{bg:'#ede9fe',fg:'#6d28d9'},{bg:'#ffedd5',fg:'#c2410c'}];</t>
  </si>
  <si>
    <t>const pal=palettes[(start+idx)%palettes.length];</t>
  </si>
  <si>
    <t>const words=p.product_name.trim().split(/\s+/);</t>
  </si>
  <si>
    <t>const initials=((words[0]?.[0]||'')+(words[1]?.[0]||'')).toUpperCase();</t>
  </si>
  <si>
    <t>.sg-prev.up {</t>
  </si>
  <si>
    <t>var heroHTML = p.image_id</t>
  </si>
  <si>
    <t>? `&lt;div class="inv-tile-hero"&gt;&lt;img src="${imgUrl(p.image_id, 400)}" alt="${esc(p.product_name)}" onerror="this.parentElement.innerHTML='&lt;div class=\\'hero-placeholder\\' style=\\'background:${pal.bg};color:${pal.fg};\\'&gt;${initials}&lt;/div&gt;';"&gt;&lt;/div&gt;`</t>
  </si>
  <si>
    <t>: `&lt;div class="inv-tile-hero"&gt;&lt;div class="hero-placeholder" style="background:${pal.bg};color:${pal.fg};width:100%;height:100%;display:flex;align-items:center;justify-content:center;"&gt;${initials}&lt;/div&gt;&lt;/div&gt;`;</t>
  </si>
  <si>
    <t>.sg-prev.dn {</t>
  </si>
  <si>
    <t>const szCells=sizes.map(s=&gt;{</t>
  </si>
  <si>
    <t>const v=p.sizes[s]??0;</t>
  </si>
  <si>
    <t>let bg,fg;</t>
  </si>
  <si>
    <t>.np-ch-btn {</t>
  </si>
  <si>
    <t>if(v===0){bg='var(--surface2)';fg='var(--muted)';}</t>
  </si>
  <si>
    <t>else if(v&lt;=2){bg='var(--red-s)';fg='var(--red)';}</t>
  </si>
  <si>
    <t>else if(v&lt;=5){bg='var(--amber-s)';fg='#d97706';}</t>
  </si>
  <si>
    <t>else{bg='var(--green-s)';fg='var(--green)';}</t>
  </si>
  <si>
    <t>padding: 7px 12px;</t>
  </si>
  <si>
    <t>return `&lt;div class="inv-sz-cell" style="background:${bg};"&gt;&lt;span class="szl" style="color:${fg};"&gt;${s}&lt;/span&gt;&lt;span class="szv" style="color:${fg};"&gt;${v}&lt;/span&gt;&lt;/div&gt;`;</t>
  </si>
  <si>
    <t>const imgBtnLabel = p.image_id ? 'Update Photo' : 'Add Photo';</t>
  </si>
  <si>
    <t>const removeBtn = p.image_id ? `&lt;button class="btn btn-danger-soft btn-sm" style="width:100%;margin-top:8px;" onclick="event.stopPropagation();removeProductImageFn('${p.style_no}')"&gt;Remove Photo&lt;/button&gt;` : '';</t>
  </si>
  <si>
    <t>return `&lt;div class="inv-tile" id="icard-${p.style_no}" onclick="toggleInvCard('${p.style_no}')"&gt;</t>
  </si>
  <si>
    <t>${heroHTML}</t>
  </si>
  <si>
    <t>&lt;div class="inv-tile-top"&gt;</t>
  </si>
  <si>
    <t>&lt;div class="inv-tile-name"&gt;${esc(p.product_name)}&lt;/div&gt;</t>
  </si>
  <si>
    <t>&lt;div class="inv-tile-style"&gt;${esc(p.style_no)}&lt;/div&gt;</t>
  </si>
  <si>
    <t>.np-ch-btn.on {</t>
  </si>
  <si>
    <t>&lt;div class="inv-tile-bottom"&gt;</t>
  </si>
  <si>
    <t>&lt;div class="inv-tile-num" style="color:${numColor};"&gt;${ih}&lt;/div&gt;</t>
  </si>
  <si>
    <t>&lt;div class="inv-tile-unit"&gt;Total In Hand&lt;/div&gt;</t>
  </si>
  <si>
    <t>&lt;span class="inv-tile-chev" id="ichev-${p.style_no}"&gt;&amp;#x276F;&lt;/span&gt;</t>
  </si>
  <si>
    <t>/* ── PRODUCTION TABLE ───────────────────────────── */</t>
  </si>
  <si>
    <t>.prod-thumb {</t>
  </si>
  <si>
    <t>&lt;div class="inv-tile-detail" id="idet-${p.style_no}" style="display:none; animation: slideUpFade 0.2s forwards;"&gt;</t>
  </si>
  <si>
    <t>width: 36px;</t>
  </si>
  <si>
    <t>&lt;div class="inv-sz-row"&gt;${szCells}&lt;/div&gt;</t>
  </si>
  <si>
    <t>height: 36px;</t>
  </si>
  <si>
    <t>&lt;button class="btn btn-secondary btn-sm" style="width:100%;margin-top:4px;" onclick="event.stopPropagation();quickRestock('${p.style_no}')"&gt;Manage Stock Quantities&lt;/button&gt;</t>
  </si>
  <si>
    <t>&lt;button class="btn btn-secondary btn-sm" style="width:100%;margin-top:8px;" onclick="event.stopPropagation();pickAndUploadImage('${p.style_no}')"&gt;${imgBtnLabel}&lt;/button&gt;</t>
  </si>
  <si>
    <t>${removeBtn}</t>
  </si>
  <si>
    <t>.prod-thumb-ph {</t>
  </si>
  <si>
    <t>document.getElementById('inv-table').innerHTML=`&lt;div class="inv-cards-list"&gt;${cards}&lt;/div&gt;`;</t>
  </si>
  <si>
    <t>const pe=document.getElementById('inv-pag');</t>
  </si>
  <si>
    <t>const end=Math.min(start+ps,total);</t>
  </si>
  <si>
    <t>const nums=[];for(let i=1;i&lt;=pages;i++){if(i===1||i===pages||(i&gt;=page-2&amp;&amp;i&lt;=page+2))nums.push(i);else if(nums[nums.length-1]!=='…')nums.push('…');}</t>
  </si>
  <si>
    <t>&lt;button class="pb" onclick="goPage(${page-1})" ${page&lt;=1?'disabled':''}&gt;&amp;larr; Prev&lt;/button&gt;</t>
  </si>
  <si>
    <t>${nums.map(n=&gt;n==='…'?`&lt;span style="padding:0 8px;color:var(--muted);"&gt;…&lt;/span&gt;`:`&lt;button class="pb${n===page?' on':''}" onclick="goPage(${n})"&gt;${n}&lt;/button&gt;`).join('')}</t>
  </si>
  <si>
    <t>&lt;button class="pb" onclick="goPage(${page+1})" ${page&gt;=pages?'disabled':''}&gt;Next &amp;rarr;&lt;/button&gt;</t>
  </si>
  <si>
    <t>.prod-num {</t>
  </si>
  <si>
    <t>function toggleInvCard(sn){</t>
  </si>
  <si>
    <t>const det=document.getElementById('idet-'+sn);</t>
  </si>
  <si>
    <t>const chev=document.getElementById('ichev-'+sn);</t>
  </si>
  <si>
    <t>const card=document.getElementById('icard-'+sn);</t>
  </si>
  <si>
    <t>if(!det)return;</t>
  </si>
  <si>
    <t>.prod-bar-wrap {</t>
  </si>
  <si>
    <t>const open=det.style.display==='none';</t>
  </si>
  <si>
    <t>det.style.display=open?'block':'none';</t>
  </si>
  <si>
    <t>if(chev)chev.style.transform=open?'rotate(90deg)':'rotate(0)';</t>
  </si>
  <si>
    <t>if(card)card.classList.toggle('open',open);</t>
  </si>
  <si>
    <t>min-width: 140px;</t>
  </si>
  <si>
    <t>.prod-bar-track {</t>
  </si>
  <si>
    <t>// UPDATE STOCK</t>
  </si>
  <si>
    <t>function loadProd4Update(){</t>
  </si>
  <si>
    <t>const raw=(document.getElementById('us-style').value||'').trim();</t>
  </si>
  <si>
    <t>if(!raw){toast('Enter a valid style number','error');return;}</t>
  </si>
  <si>
    <t>if(!S.products.length){toast('Still syncing catalog, please wait...','info');return;}</t>
  </si>
  <si>
    <t>min-width: 60px;</t>
  </si>
  <si>
    <t>const q=raw.toLowerCase();</t>
  </si>
  <si>
    <t>const f=S.productMap[raw]||S.products.find(p=&gt;p.style_no.toLowerCase()===q)||S.products.find(p=&gt;p.style_no.toLowerCase().includes(q))||S.products.find(p=&gt;p.product_name.toLowerCase().includes(q));</t>
  </si>
  <si>
    <t>if(!f){toast('No product found matching your query','error');return;}</t>
  </si>
  <si>
    <t>.prod-bar-fill {</t>
  </si>
  <si>
    <t>S.us.prod=f;S.us.inputs={};</t>
  </si>
  <si>
    <t>document.getElementById('us-style').value=f.style_no;</t>
  </si>
  <si>
    <t>transition: width .4s ease;</t>
  </si>
  <si>
    <t>document.getElementById('us-area').style.display='block';</t>
  </si>
  <si>
    <t>document.getElementById('us-ph').style.display='none';</t>
  </si>
  <si>
    <t>document.getElementById('us-notes').value='';</t>
  </si>
  <si>
    <t>.prod-bar-pct {</t>
  </si>
  <si>
    <t>renderUSBanner();renderSG();updateUSSummary();</t>
  </si>
  <si>
    <t>function renderUSBanner(){</t>
  </si>
  <si>
    <t>const p=S.us.prod;</t>
  </si>
  <si>
    <t>const imgHTML = p.image_id ? `&lt;div style="width:72px;height:72px;border-radius:12px;overflow:hidden;background:var(--surface2);flex-shrink:0;margin-right:20px;border:2px solid rgba(255,255,255,0.1);"&gt;&lt;img src="${imgUrl(p.image_id,200)}" style="width:100%;height:100%;object-fit:cover;display:block;" onerror="this.style.display='none';"&gt;&lt;/div&gt;` : '';</t>
  </si>
  <si>
    <t>document.getElementById('us-banner').innerHTML=`</t>
  </si>
  <si>
    <t>${imgHTML}</t>
  </si>
  <si>
    <t>&lt;div style="flex:1;"&gt;&lt;div class="pb-name"&gt;${esc(p.product_name)}&lt;/div&gt;&lt;div class="pb-style"&gt;${p.style_no}&lt;/div&gt;&lt;/div&gt;</t>
  </si>
  <si>
    <t>/* ── ORDERS SPLIT VIEW ──────────────────────────── */</t>
  </si>
  <si>
    <t>&lt;div class="pb-ih"&gt;&lt;div class="pb-ih-label"&gt;Current Stock&lt;/div&gt;&lt;div class="pb-ih-val"&gt;${p.in_hand}&lt;/div&gt;&lt;/div&gt;</t>
  </si>
  <si>
    <t>.orders-split {</t>
  </si>
  <si>
    <t>function setMode(m){</t>
  </si>
  <si>
    <t>S.us.mode=m;S.us.inputs={};</t>
  </si>
  <si>
    <t>align-items: start;</t>
  </si>
  <si>
    <t>document.getElementById('m-add').classList.toggle('on',m==='add');</t>
  </si>
  <si>
    <t>document.getElementById('m-set').classList.toggle('on',m==='set');</t>
  </si>
  <si>
    <t>document.getElementById('m-hint').textContent=m==='add'?'Enter units to add (use negative to deduct)':'Enter absolute current stock level for each size';</t>
  </si>
  <si>
    <t>@media (max-width: 900px) {</t>
  </si>
  <si>
    <t>renderSG();updateUSSummary();</t>
  </si>
  <si>
    <t>function renderSG(){</t>
  </si>
  <si>
    <t>const p=S.us.prod,sizes=S.config?.sizes||['S','M','L','XL','2XL','3XL'];</t>
  </si>
  <si>
    <t>let tot=0;</t>
  </si>
  <si>
    <t>const rows=sizes.map(sz=&gt;{</t>
  </si>
  <si>
    <t>.orders-col {</t>
  </si>
  <si>
    <t>const cur=p.sizes[sz]??0;tot+=cur;</t>
  </si>
  <si>
    <t>const inp=S.us.inputs[sz]??'';</t>
  </si>
  <si>
    <t>const cc=cur===0?'style="color:var(--muted);"':cur&lt;=3?'style="color:var(--red);"':'';</t>
  </si>
  <si>
    <t>return `&lt;tr&gt;</t>
  </si>
  <si>
    <t>&lt;td style="font-family:'JetBrains Mono',monospace;font-weight:700;font-size:15px;color:var(--ink);"&gt;${sz}&lt;/td&gt;</t>
  </si>
  <si>
    <t>&lt;td class="mono" style="text-align:center;font-size:16px;font-weight:600;"&gt;&lt;span ${cc}&gt;${cur}&lt;/span&gt;&lt;/td&gt;</t>
  </si>
  <si>
    <t>&lt;td&gt;&lt;input type="number" class="mono" style="max-width:140px;font-size:15px;font-weight:600;" placeholder="${S.us.mode==='set'?'New Total':'Add Qty'}" value="${inp}" oninput="usChg('${sz}',this.value)" id="sg-${sz}"&gt;&lt;/td&gt;</t>
  </si>
  <si>
    <t>min-height: 200px;</t>
  </si>
  <si>
    <t>&lt;td id="sgp-${sz}"&gt;${buildPrev(sz,cur,inp)}&lt;/td&gt;</t>
  </si>
  <si>
    <t>.orders-col-hd {</t>
  </si>
  <si>
    <t>document.getElementById('sg-tbody').innerHTML=rows+`</t>
  </si>
  <si>
    <t>&lt;tr style="background:var(--surface2);"&gt;</t>
  </si>
  <si>
    <t>&lt;td style="font-weight:700;font-size:12px;color:var(--muted);text-transform:uppercase;"&gt;Gross Total&lt;/td&gt;</t>
  </si>
  <si>
    <t>&lt;td class="mono" style="text-align:center;font-weight:700;font-size:18px;"&gt;${tot}&lt;/td&gt;</t>
  </si>
  <si>
    <t>padding: 11px 14px;</t>
  </si>
  <si>
    <t>&lt;td&gt;&lt;/td&gt;</t>
  </si>
  <si>
    <t>&lt;td id="sgp-total"&gt;${buildTotPrev()}&lt;/td&gt;</t>
  </si>
  <si>
    <t>background: linear-gradient(180deg, #fafafa 0%, #f5f5f4 100%);</t>
  </si>
  <si>
    <t>function usChg(sz,val){</t>
  </si>
  <si>
    <t>.orders-col-hd .oc-h-left {</t>
  </si>
  <si>
    <t>S.us.inputs[sz]=val===''?undefined:Number(val);</t>
  </si>
  <si>
    <t>const p=S.us.prod,cur=p.sizes[sz]??0;</t>
  </si>
  <si>
    <t>document.getElementById('sgp-'+sz).innerHTML=buildPrev(sz,cur,val);</t>
  </si>
  <si>
    <t>gap: 9px;</t>
  </si>
  <si>
    <t>document.getElementById('sgp-total').innerHTML=buildTotPrev();</t>
  </si>
  <si>
    <t>updateUSSummary();</t>
  </si>
  <si>
    <t>.orders-col-hd .oc-h-dot {</t>
  </si>
  <si>
    <t>function buildPrev(sz,cur,val){</t>
  </si>
  <si>
    <t>if(val===''||val===undefined||val===null)return'&lt;span style="color:var(--muted);font-size:13px;"&gt;No Change&lt;/span&gt;';</t>
  </si>
  <si>
    <t>const q=Number(val);if(isNaN(q))return'&lt;span style="color:var(--red);font-weight:600;"&gt;Invalid Input&lt;/span&gt;';</t>
  </si>
  <si>
    <t>const nv=S.us.mode==='set'?q:cur+q;</t>
  </si>
  <si>
    <t>if(nv&lt;0)return'&lt;span style="color:var(--red);font-weight:600;"&gt;Warning: Negative Stock&lt;/span&gt;';</t>
  </si>
  <si>
    <t>const d=nv-cur,cls=d&gt;0?'color:var(--green);':'color:var(--red);';</t>
  </si>
  <si>
    <t>if(d===0) return '&lt;span style="color:var(--muted);font-weight:600;"&gt;No Net Change&lt;/span&gt;';</t>
  </si>
  <si>
    <t>return `&lt;span style="font-family:'JetBrains Mono',monospace;font-weight:700;font-size:15px;${cls}"&gt;${nv} &lt;span style="font-size:11px;opacity:0.7;margin-left:6px;"&gt;(${d&gt;0?'+':''}${d})&lt;/span&gt;&lt;/span&gt;`;</t>
  </si>
  <si>
    <t>.orders-col-hd .oc-h-name {</t>
  </si>
  <si>
    <t>function buildTotPrev(){</t>
  </si>
  <si>
    <t>letter-spacing: .02em;</t>
  </si>
  <si>
    <t>const old=sizes.reduce((s,sz)=&gt;s+(p.sizes[sz]??0),0);</t>
  </si>
  <si>
    <t>const nw=sizes.reduce((s,sz)=&gt;{const c=p.sizes[sz]??0,i=S.us.inputs[sz];if(i===undefined)return s+c;return s+Math.max(0,S.us.mode==='set'?Number(i):c+Number(i));},0);</t>
  </si>
  <si>
    <t>const d=nw-old;if(d===0)return`&lt;span style="color:var(--muted);font-weight:600;font-size:15px;"&gt;${nw}&lt;/span&gt;`;</t>
  </si>
  <si>
    <t>.orders-col-hd .oc-h-count {</t>
  </si>
  <si>
    <t>return `&lt;span style="font-family:'JetBrains Mono',monospace;font-weight:700;font-size:18px;color:${d&gt;0?'var(--green)':'var(--red)'};"&gt;${nw} &lt;span style="font-size:12px;opacity:0.7;"&gt;(${d&gt;0?'+':''}${d})&lt;/span&gt;&lt;/span&gt;`;</t>
  </si>
  <si>
    <t>function updateUSSummary(){</t>
  </si>
  <si>
    <t>const sizes=S.config?.sizes||[];</t>
  </si>
  <si>
    <t>background: #f5f5f4;</t>
  </si>
  <si>
    <t>const ch=sizes.filter(sz=&gt;S.us.inputs[sz]!==undefined&amp;&amp;S.us.inputs[sz]!=='');</t>
  </si>
  <si>
    <t>document.getElementById('us-summary').innerHTML=ch.length?`&lt;strong&gt;${ch.length}&lt;/strong&gt; sizes to be modified`:'No adjustments made';</t>
  </si>
  <si>
    <t>function resetUS(){S.us.inputs={};if(S.us.prod){renderSG();updateUSSummary();}document.getElementById('us-notes').value='';}</t>
  </si>
  <si>
    <t>function submitUS(){</t>
  </si>
  <si>
    <t>const p=S.us.prod;if(!p)return toast('Please select a product first','error');</t>
  </si>
  <si>
    <t>const notes=document.getElementById('us-notes').value.trim();</t>
  </si>
  <si>
    <t>/* Channel-specific accents */</t>
  </si>
  <si>
    <t>if(!notes)return toast('A reason or note is required for the log','error');</t>
  </si>
  <si>
    <t>.orders-col-hd.flipkart {</t>
  </si>
  <si>
    <t>const sizes=S.config?.sizes||[];const updates=[];</t>
  </si>
  <si>
    <t>background: linear-gradient(180deg, #eff6ff 0%, #dbeafe 100%);</t>
  </si>
  <si>
    <t>for(const sz of sizes){</t>
  </si>
  <si>
    <t>border-bottom-color: #bfdbfe;</t>
  </si>
  <si>
    <t>const i=S.us.inputs[sz];if(i===undefined||i==='')continue;</t>
  </si>
  <si>
    <t>const q=Number(i);if(isNaN(q))return toast('Invalid quantity detected','error');</t>
  </si>
  <si>
    <t>if(S.us.mode==='set'&amp;&amp;q&lt;0)return toast('Cannot hard-set negative inventory','error');</t>
  </si>
  <si>
    <t>.orders-col-hd.flipkart .oc-h-dot {</t>
  </si>
  <si>
    <t>updates.push({size:sz,quantity:q});</t>
  </si>
  <si>
    <t>background: #2874f0;</t>
  </si>
  <si>
    <t>if(!updates.length)return toast('No quantities modified','error');</t>
  </si>
  <si>
    <t>const btn=document.getElementById('us-btn');btn.disabled=true;btn.textContent='Saving to Database...';</t>
  </si>
  <si>
    <t>.orders-col-hd.flipkart .oc-h-name {</t>
  </si>
  <si>
    <t>color: #1e40af;</t>
  </si>
  <si>
    <t>btn.disabled=false;btn.textContent='Save Stock Update';</t>
  </si>
  <si>
    <t>if(r.success){</t>
  </si>
  <si>
    <t>.orders-col-hd.flipkart .oc-h-count {</t>
  </si>
  <si>
    <t>toast(`Inventory successfully updated for ${r.product_name}`,'success');</t>
  </si>
  <si>
    <t>background: #fff;</t>
  </si>
  <si>
    <t>loadProds(()=&gt;{S.us.prod=S.productMap[p.style_no]||S.us.prod;S.us.inputs={};renderUSBanner();renderSG();updateUSSummary();});</t>
  </si>
  <si>
    <t>border-color: #bfdbfe;</t>
  </si>
  <si>
    <t>} else toast(r.error||'Failed to update database','error');</t>
  </si>
  <si>
    <t>.withFailureHandler(e=&gt;{btn.disabled=false;btn.textContent='Save Stock Update';toast('Network Error: '+e.message,'error');})</t>
  </si>
  <si>
    <t>.orders-col-hd.shopify {</t>
  </si>
  <si>
    <t>.updateStock({style_no:p.style_no,mode:S.us.mode,updates,notes});</t>
  </si>
  <si>
    <t>background: linear-gradient(180deg, #f0fdf4 0%, #dcfce7 100%);</t>
  </si>
  <si>
    <t>border-bottom-color: #bbf7d0;</t>
  </si>
  <si>
    <t>function quickRestock(sn){switchTab('update-stock');document.getElementById('us-style').value=sn;setTimeout(()=&gt;{if(S.products.length)loadProd4Update();},200);}</t>
  </si>
  <si>
    <t>.orders-col-hd.shopify .oc-h-dot {</t>
  </si>
  <si>
    <t>// ADD NEW PRODUCT</t>
  </si>
  <si>
    <t>background: #2ecc71;</t>
  </si>
  <si>
    <t>const NP={sizes:{},channels:[]};</t>
  </si>
  <si>
    <t>function initNP(){</t>
  </si>
  <si>
    <t>.orders-col-hd.shopify .oc-h-name {</t>
  </si>
  <si>
    <t>const ce=document.getElementById('np-ch');</t>
  </si>
  <si>
    <t>color: #166534;</t>
  </si>
  <si>
    <t>if(ce&amp;&amp;S.config&amp;&amp;!ce.innerHTML){</t>
  </si>
  <si>
    <t>ce.innerHTML=S.config.channels.map(c=&gt;`&lt;button class="pb" id="npb-${c}" onclick="npTogCh('${c}')"&gt;${c}&lt;/button&gt;`).join('');</t>
  </si>
  <si>
    <t>.orders-col-hd.shopify .oc-h-count {</t>
  </si>
  <si>
    <t>const sg=document.getElementById('np-sg');</t>
  </si>
  <si>
    <t>if(sg&amp;&amp;S.config&amp;&amp;!sg.innerHTML){</t>
  </si>
  <si>
    <t>sg.innerHTML=S.config.sizes.map(s=&gt;`&lt;div class="field"&gt;&lt;label&gt;${s}&lt;/label&gt;&lt;input type="number" class="mono" min="0" placeholder="0" id="np-${s}" oninput="npSzChg('${s}',this.value)"&gt;&lt;/div&gt;`).join('');</t>
  </si>
  <si>
    <t>border-color: #bbf7d0;</t>
  </si>
  <si>
    <t>function npTogCh(c){</t>
  </si>
  <si>
    <t>.orders-col-hd.other {</t>
  </si>
  <si>
    <t>if(NP.channels.includes(c)){NP.channels=NP.channels.filter(x=&gt;x!==c);}</t>
  </si>
  <si>
    <t>else{if(NP.channels.length&gt;=3){toast('Maximum 3 channels allowed','error');return;}NP.channels.push(c);}</t>
  </si>
  <si>
    <t>S.config.channels.forEach(ch=&gt;{const b=document.getElementById('npb-'+ch);if(b)b.classList.toggle('on',NP.channels.includes(ch));});</t>
  </si>
  <si>
    <t>npPreview();</t>
  </si>
  <si>
    <t>.orders-col-hd.other .oc-h-dot {</t>
  </si>
  <si>
    <t>background: #9ca3af;</t>
  </si>
  <si>
    <t>function npSzChg(s,v){NP.sizes[s]=Math.max(0,Number(v)||0);npPreview();}</t>
  </si>
  <si>
    <t>function npPreview(){</t>
  </si>
  <si>
    <t>const sn=(document.getElementById('np-style')?.value||'').trim();</t>
  </si>
  <si>
    <t>.orders-col-body {</t>
  </si>
  <si>
    <t>const nm=(document.getElementById('np-name')?.value||'').trim();</t>
  </si>
  <si>
    <t>const tot=sizes.reduce((s,sz)=&gt;s+(NP.sizes[sz]||0),0);</t>
  </si>
  <si>
    <t>const prev=document.getElementById('np-ih-prev');</t>
  </si>
  <si>
    <t>if(prev)prev.innerHTML=tot&gt;0?`Projected Initial Stock: &lt;strong style="color:var(--green);font-size:18px;margin-left:8px;"&gt;${tot}&lt;/strong&gt; units`:'Projected Initial Stock: &lt;strong&gt;0&lt;/strong&gt; units';</t>
  </si>
  <si>
    <t>.orders-col-body .loader {</t>
  </si>
  <si>
    <t>const sum=document.getElementById('np-summary');</t>
  </si>
  <si>
    <t>padding: 30px 14px;</t>
  </si>
  <si>
    <t>if(sum)sum.innerHTML=sn&amp;&amp;nm?`&lt;span class="mono" style="font-weight:600;color:var(--blue);"&gt;${esc(sn)}&lt;/span&gt; &amp;nbsp;&amp;middot;&amp;nbsp; &lt;strong&gt;${esc(nm)}&lt;/strong&gt;`:' Complete required fields to register';</t>
  </si>
  <si>
    <t>function resetNP(){</t>
  </si>
  <si>
    <t>.orders-col-body .empty {</t>
  </si>
  <si>
    <t>NP.sizes={};NP.channels=[];</t>
  </si>
  <si>
    <t>padding: 24px 14px;</t>
  </si>
  <si>
    <t>['np-style','np-name','np-fabric'].forEach(id=&gt;{const el=document.getElementById(id);if(el)el.value='';});</t>
  </si>
  <si>
    <t>document.getElementById('np-sg')?.querySelectorAll('input').forEach(i=&gt;i.value='');</t>
  </si>
  <si>
    <t>S.config?.channels.forEach(c=&gt;{const b=document.getElementById('npb-'+c);if(b)b.classList.remove('on');});</t>
  </si>
  <si>
    <t>function submitNP(){</t>
  </si>
  <si>
    <t>/* Order cards inside columns — slightly compact since width is halved */</t>
  </si>
  <si>
    <t>.orders-col-body .order-card {</t>
  </si>
  <si>
    <t>const fab=(document.getElementById('np-fabric')?.value||'').trim();</t>
  </si>
  <si>
    <t>if(!sn)return toast('A unique Style No. is required','error');</t>
  </si>
  <si>
    <t>border-radius: 0;</t>
  </si>
  <si>
    <t>if(!nm)return toast('Product Name is required','error');</t>
  </si>
  <si>
    <t>const sizes=S.config?.sizes||[];const sizeData={};sizes.forEach(s=&gt;{sizeData[s]=NP.sizes[s]||0;});</t>
  </si>
  <si>
    <t>const btn=document.getElementById('np-btn');btn.disabled=true;btn.textContent='Registering...';</t>
  </si>
  <si>
    <t>.orders-col-body .order-card:last-child {</t>
  </si>
  <si>
    <t>btn.disabled=false;btn.textContent='Register Product';</t>
  </si>
  <si>
    <t>if(r.success){toast(`Product registered successfully! Initial stock: ${r.in_hand}`,'success');resetNP();loadProds();}</t>
  </si>
  <si>
    <t>.orders-col-body .order-card .oc-head {</t>
  </si>
  <si>
    <t>else toast(r.error||'Registration failed','error');</t>
  </si>
  <si>
    <t>grid-template-columns: 1fr auto auto;</t>
  </si>
  <si>
    <t>.withFailureHandler(e=&gt;{btn.disabled=false;btn.textContent='Register Product';toast('Server Error: '+e.message,'error');})</t>
  </si>
  <si>
    <t>.addNewProduct({style_no:sn,product_name:nm,fabric:fab,channels:NP.channels,sizes:sizeData});</t>
  </si>
  <si>
    <t>// MOVEMENTS</t>
  </si>
  <si>
    <t>.orders-col-body .order-card .oc-head:hover {</t>
  </si>
  <si>
    <t>function loadMov(){</t>
  </si>
  <si>
    <t>background: #fafafa;</t>
  </si>
  <si>
    <t>document.getElementById('mov-table').innerHTML='&lt;div class="loader"&gt;Loading Log Data...&lt;/div&gt;';</t>
  </si>
  <si>
    <t>.withSuccessHandler(m=&gt;{</t>
  </si>
  <si>
    <t>.orders-col-body .order-card .oc-head .oc-id {</t>
  </si>
  <si>
    <t>if(!m||!m.length){document.getElementById('mov-table').innerHTML='&lt;div class="empty"&gt;&lt;strong&gt;No transactions recorded yet&lt;/strong&gt;&lt;/div&gt;';return;}</t>
  </si>
  <si>
    <t>document.getElementById('mov-table').innerHTML=`&lt;table&gt;</t>
  </si>
  <si>
    <t>&lt;thead style="background:var(--surface2);"&gt;&lt;tr&gt;&lt;th&gt;Timestamp&lt;/th&gt;&lt;th&gt;SKU&lt;/th&gt;&lt;th style="text-align:center;"&gt;Size&lt;/th&gt;&lt;th style="text-align:right;"&gt;Delta&lt;/th&gt;&lt;th&gt;Classification&lt;/th&gt;&lt;th&gt;Event Description&lt;/th&gt;&lt;th&gt;Reference&lt;/th&gt;&lt;/tr&gt;&lt;/thead&gt;</t>
  </si>
  <si>
    <t>&lt;tbody&gt;${m.map(r=&gt;`&lt;tr&gt;</t>
  </si>
  <si>
    <t>&lt;td class="mono" style="font-size:12px;color:var(--muted);"&gt;${r.timestamp}&lt;/td&gt;</t>
  </si>
  <si>
    <t>&lt;td class="mono" style="font-weight:600;color:var(--blue);"&gt;${r.style_no}&lt;/td&gt;</t>
  </si>
  <si>
    <t>&lt;td class="mono" style="text-align:center;font-weight:600;"&gt;${r.size}&lt;/td&gt;</t>
  </si>
  <si>
    <t>.orders-col-body .order-card .oc-head .oc-date {</t>
  </si>
  <si>
    <t>&lt;td class="mono" style="text-align:right;font-weight:700;font-size:15px;color:${r.change&lt;0?'var(--red)':'var(--green)'};"&gt;${r.change&gt;0?'+':''}${r.change}&lt;/td&gt;</t>
  </si>
  <si>
    <t>&lt;td&gt;&lt;span class="badge b-${r.type}"&gt;${r.type}&lt;/span&gt;&lt;/td&gt;</t>
  </si>
  <si>
    <t>&lt;td style="font-size:13px;color:var(--ink2);"&gt;${esc(r.reason)}&lt;/td&gt;</t>
  </si>
  <si>
    <t>&lt;td class="mono" style="font-size:11px;color:var(--muted);"&gt;${esc(r.order_id)||'—'}&lt;/td&gt;</t>
  </si>
  <si>
    <t>&lt;/tr&gt;`).join('')}&lt;/tbody&gt;&lt;/table&gt;`;</t>
  </si>
  <si>
    <t>.withFailureHandler(e=&gt;{document.getElementById('mov-table').innerHTML=`&lt;div class="empty"&gt;Error fetching log: ${e.message}&lt;/div&gt;`;})</t>
  </si>
  <si>
    <t>.orders-col-body .order-card .oc-head .oc-buyer {</t>
  </si>
  <si>
    <t>.getMovements(200);</t>
  </si>
  <si>
    <t>// PRODUCTION REPORT</t>
  </si>
  <si>
    <t>.orders-col-body .order-card .oc-head .oc-contact {</t>
  </si>
  <si>
    <t>function loadProduction(){</t>
  </si>
  <si>
    <t>.withSuccessHandler(function(r){ S.prod.data = r; renderProd(); })</t>
  </si>
  <si>
    <t>.withFailureHandler(function(e){</t>
  </si>
  <si>
    <t>var t=document.getElementById('prod-table');</t>
  </si>
  <si>
    <t>if(t) t.innerHTML='&lt;div class="empty"&gt;Failed to generate analytics: '+e.message+'&lt;/div&gt;';</t>
  </si>
  <si>
    <t>.orders-col-body .order-card .oc-head .oc-qty {</t>
  </si>
  <si>
    <t>.getProductionReport();</t>
  </si>
  <si>
    <t>function prodResetPage(){ if(S.prod) S.prod.page=1; renderProd(); }</t>
  </si>
  <si>
    <t>function prodGoPage(p){</t>
  </si>
  <si>
    <t>if(!S.prod || !S.prod.data) return;</t>
  </si>
  <si>
    <t>var total=(S.prod._filteredCount||0);</t>
  </si>
  <si>
    <t>.orders-col-body .order-card .oc-buyer-wrap {</t>
  </si>
  <si>
    <t>var pages=Math.max(1, Math.ceil(total/S.prod.ps));</t>
  </si>
  <si>
    <t>S.prod.page=Math.max(1, Math.min(p, pages));</t>
  </si>
  <si>
    <t>renderProd();</t>
  </si>
  <si>
    <t>function renderProd(){</t>
  </si>
  <si>
    <t>var d = S.prod &amp;&amp; S.prod.data;</t>
  </si>
  <si>
    <t>if(!d){ return; }</t>
  </si>
  <si>
    <t>.orders-col-body .order-card .oc-buyer-wrap&gt;div {</t>
  </si>
  <si>
    <t>var t = d.totals || {};</t>
  </si>
  <si>
    <t>document.getElementById('prod-kpi').innerHTML =</t>
  </si>
  <si>
    <t>`&lt;div class="kpi blue"&gt;&lt;div class="kpi-label"&gt;Gross Production&lt;/div&gt;&lt;div class="kpi-value"&gt;${(t.manufactured||0).toLocaleString()}&lt;/div&gt;&lt;div class="kpi-sub"&gt;Total historic yield&lt;/div&gt;&lt;/div&gt;</t>
  </si>
  <si>
    <t>&lt;div class="kpi amber"&gt;&lt;div class="kpi-label"&gt;Gross Sales&lt;/div&gt;&lt;div class="kpi-value"&gt;${(t.sold||0).toLocaleString()}&lt;/div&gt;&lt;div class="kpi-sub"&gt;Net dispatched units&lt;/div&gt;&lt;/div&gt;</t>
  </si>
  <si>
    <t>&lt;div class="kpi green"&gt;&lt;div class="kpi-label"&gt;Current Stock Asset&lt;/div&gt;&lt;div class="kpi-value"&gt;${(t.in_hand||0).toLocaleString()}&lt;/div&gt;&lt;div class="kpi-sub"&gt;Available inventory&lt;/div&gt;&lt;/div&gt;</t>
  </si>
  <si>
    <t>.orders-col-body .order-card .chev {</t>
  </si>
  <si>
    <t>&lt;div class="kpi blue"&gt;&lt;div class="kpi-label"&gt;Macro Sell-Through&lt;/div&gt;&lt;div class="kpi-value"&gt;${(t.sell_through||0)}%&lt;/div&gt;&lt;div class="kpi-sub"&gt;Sales to Production ratio&lt;/div&gt;&lt;/div&gt;`;</t>
  </si>
  <si>
    <t>var q = (document.getElementById('prod-search').value||'').toLowerCase().trim();</t>
  </si>
  <si>
    <t>transition: transform .15s;</t>
  </si>
  <si>
    <t>var rows = (d.products||[]).slice();</t>
  </si>
  <si>
    <t>if(q){</t>
  </si>
  <si>
    <t>rows = rows.filter(function(p){</t>
  </si>
  <si>
    <t>.orders-col-body .order-card.open .chev {</t>
  </si>
  <si>
    <t>return (p.style_no||'').toLowerCase().indexOf(q)&gt;=0 ||</t>
  </si>
  <si>
    <t>(p.product_name||'').toLowerCase().indexOf(q)&gt;=0;</t>
  </si>
  <si>
    <t>.orders-col-body .order-card .oc-body {</t>
  </si>
  <si>
    <t>var sortVal = (document.getElementById('prod-sort').value||'manufactured:desc').split(':');</t>
  </si>
  <si>
    <t>var sortCol = sortVal[0], sortDir = sortVal[1];</t>
  </si>
  <si>
    <t>padding: 0 14px 14px;</t>
  </si>
  <si>
    <t>rows.sort(function(a,b){</t>
  </si>
  <si>
    <t>var va=a[sortCol], vb=b[sortCol];</t>
  </si>
  <si>
    <t>if(typeof va==='number') return sortDir==='asc'?va-vb:vb-va;</t>
  </si>
  <si>
    <t>return sortDir==='asc'?String(va||'').localeCompare(String(vb||'')):String(vb||'').localeCompare(String(va||''));</t>
  </si>
  <si>
    <t>.orders-col-body .order-card.open .oc-body {</t>
  </si>
  <si>
    <t>var total = rows.length;</t>
  </si>
  <si>
    <t>S.prod._filteredCount = total;</t>
  </si>
  <si>
    <t>var ps = S.prod.ps || 12;</t>
  </si>
  <si>
    <t>var pages = Math.max(1, Math.ceil(total / ps));</t>
  </si>
  <si>
    <t>.toasts {</t>
  </si>
  <si>
    <t>if(S.prod.page &gt; pages) S.prod.page = pages;</t>
  </si>
  <si>
    <t>position: fixed;</t>
  </si>
  <si>
    <t>if(S.prod.page &lt; 1) S.prod.page = 1;</t>
  </si>
  <si>
    <t>top: 18px;</t>
  </si>
  <si>
    <t>var page = S.prod.page;</t>
  </si>
  <si>
    <t>right: 18px;</t>
  </si>
  <si>
    <t>var start = (page - 1) * ps;</t>
  </si>
  <si>
    <t>z-index: 200;</t>
  </si>
  <si>
    <t>var slice = rows.slice(start, start + ps);</t>
  </si>
  <si>
    <t>var tbl = document.getElementById('prod-table');</t>
  </si>
  <si>
    <t>var pager = document.getElementById('prod-pag');</t>
  </si>
  <si>
    <t>tbl.innerHTML='&lt;div class="empty"&gt;&lt;strong&gt;No analytical data found'+(q?' for "'+esc(q)+'"':'')+'&lt;/strong&gt;&lt;/div&gt;';</t>
  </si>
  <si>
    <t>if(pager) pager.style.display='none';</t>
  </si>
  <si>
    <t>pointer-events: auto;</t>
  </si>
  <si>
    <t>padding: 11px 16px;</t>
  </si>
  <si>
    <t>var palettes=[{bg:'#dbeafe',fg:'#1d4ed8'},{bg:'#d1fae5',fg:'#047857'},{bg:'#fef3c7',fg:'#b45309'},{bg:'#ede9fe',fg:'#6d28d9'},{bg:'#ffedd5',fg:'#c2410c'}];</t>
  </si>
  <si>
    <t>box-shadow: var(--shadow-md);</t>
  </si>
  <si>
    <t>var html = '&lt;table&gt;&lt;thead style="background:var(--surface2);"&gt;&lt;tr&gt;'</t>
  </si>
  <si>
    <t>max-width: 360px;</t>
  </si>
  <si>
    <t>animation: tst .25s ease;</t>
  </si>
  <si>
    <t>border-left: 4px solid transparent;</t>
  </si>
  <si>
    <t>.toast.info {</t>
  </si>
  <si>
    <t>border-left-color: var(--amber);</t>
  </si>
  <si>
    <t>var p = slice[i];</t>
  </si>
  <si>
    <t>var pal = palettes[(start + i) % palettes.length];</t>
  </si>
  <si>
    <t>var words = (p.product_name||'').trim().split(/\s+/);</t>
  </si>
  <si>
    <t>.toast.success {</t>
  </si>
  <si>
    <t>var initials = (((words[0]||'')[0]||'') + ((words[1]||'')[0]||'')).toUpperCase();</t>
  </si>
  <si>
    <t>background: #14532d;</t>
  </si>
  <si>
    <t>color: #dcfce7;</t>
  </si>
  <si>
    <t>var thumb = p.image_id</t>
  </si>
  <si>
    <t>border-left-color: #22c55e;</t>
  </si>
  <si>
    <t>? `&lt;img src="${imgUrl(p.image_id,80)}" style="width:40px;height:40px;border-radius:8px;object-fit:cover;" onerror="this.outerHTML='&lt;div style=\\'width:40px;height:40px;border-radius:8px;display:flex;align-items:center;justify-content:center;background:${pal.bg};color:${pal.fg};font-weight:700;font-size:12px;\\'&gt;${initials}&lt;/div&gt;';"&gt;`</t>
  </si>
  <si>
    <t>: `&lt;div style="width:40px;height:40px;border-radius:8px;display:flex;align-items:center;justify-content:center;background:${pal.bg};color:${pal.fg};font-weight:700;font-size:12px;font-family:'JetBrains Mono',monospace;"&gt;${initials}&lt;/div&gt;`;</t>
  </si>
  <si>
    <t>.toast.error {</t>
  </si>
  <si>
    <t>var ihColor = p.in_hand===0?'var(--muted)':p.in_hand&lt;=3?'var(--red)':'var(--green)';</t>
  </si>
  <si>
    <t>background: #7f1d1d;</t>
  </si>
  <si>
    <t>var pct = p.sell_through||0;</t>
  </si>
  <si>
    <t>color: #fee2e2;</t>
  </si>
  <si>
    <t>var barColor = pct&gt;=80?'var(--green)':pct&gt;=50?'var(--amber)':pct&gt;=20?'var(--blue)':'var(--border2)';</t>
  </si>
  <si>
    <t>border-left-color: #ef4444;</t>
  </si>
  <si>
    <t>html += `&lt;tr&gt;</t>
  </si>
  <si>
    <t>&lt;td&gt;${thumb}&lt;/td&gt;</t>
  </si>
  <si>
    <t>@keyframes tst {</t>
  </si>
  <si>
    <t>&lt;td&gt;&lt;div style="font-weight:600;font-size:14px;color:var(--ink);"&gt;${esc(p.product_name)}&lt;/div&gt;</t>
  </si>
  <si>
    <t>from {</t>
  </si>
  <si>
    <t>&lt;div class="mono" style="font-size:12px;color:var(--muted);margin-top:2px;"&gt;${esc(p.style_no)}&lt;/div&gt;&lt;/td&gt;</t>
  </si>
  <si>
    <t>transform: translateX(10px);</t>
  </si>
  <si>
    <t>&lt;td class="mono" style="text-align:right;font-size:15px;color:var(--blue);font-weight:600;"&gt;${(p.manufactured||0)}&lt;/td&gt;</t>
  </si>
  <si>
    <t>opacity: 0;</t>
  </si>
  <si>
    <t>&lt;td class="mono" style="text-align:right;font-size:15px;color:var(--amber);font-weight:600;"&gt;${(p.sold||0)}&lt;/td&gt;</t>
  </si>
  <si>
    <t>&lt;td class="mono" style="text-align:right;font-size:15px;color:${ihColor};font-weight:600;"&gt;${(p.in_hand||0)}&lt;/td&gt;</t>
  </si>
  <si>
    <t>&lt;td&gt;&lt;div style="display:flex;align-items:center;gap:12px;"&gt;</t>
  </si>
  <si>
    <t>to {</t>
  </si>
  <si>
    <t>&lt;div style="flex:1;height:6px;background:var(--border);border-radius:3px;overflow:hidden;"&gt;</t>
  </si>
  <si>
    <t>transform: translateX(0);</t>
  </si>
  <si>
    <t>&lt;div style="height:100%;width:${Math.min(100,pct)}%;background:${barColor};transition:width 0.5s ease;"&gt;&lt;/div&gt;</t>
  </si>
  <si>
    <t>&lt;span class="mono" style="font-weight:600;font-size:13px;width:35px;text-align:right;"&gt;${pct}%&lt;/span&gt;</t>
  </si>
  <si>
    <t>&lt;/div&gt;&lt;/td&gt;</t>
  </si>
  <si>
    <t>/* ── MISC ───────────────────────────────────────── */</t>
  </si>
  <si>
    <t>.empty {</t>
  </si>
  <si>
    <t>html += '&lt;/tbody&gt;&lt;/table&gt;';</t>
  </si>
  <si>
    <t>padding: 50px 20px;</t>
  </si>
  <si>
    <t>tbl.innerHTML = html;</t>
  </si>
  <si>
    <t>if(pager){</t>
  </si>
  <si>
    <t>if(pages &lt;= 1){ pager.style.display='none'; }</t>
  </si>
  <si>
    <t>.empty strong {</t>
  </si>
  <si>
    <t>pager.style.display='flex';</t>
  </si>
  <si>
    <t>var endIdx = Math.min(start + ps, total);</t>
  </si>
  <si>
    <t>font-size: 16px;</t>
  </si>
  <si>
    <t>var nums=[];</t>
  </si>
  <si>
    <t>for(var k=1;k&lt;=pages;k++){</t>
  </si>
  <si>
    <t>if(k===1 || k===pages || (k&gt;=page-2 &amp;&amp; k&lt;=page+2)) nums.push(k);</t>
  </si>
  <si>
    <t>else if(nums[nums.length-1] !== '…') nums.push('…');</t>
  </si>
  <si>
    <t>var btns='';</t>
  </si>
  <si>
    <t>for(var n=0;n&lt;nums.length;n++){</t>
  </si>
  <si>
    <t>padding: 40px;</t>
  </si>
  <si>
    <t>var x=nums[n];</t>
  </si>
  <si>
    <t>if(x==='…') btns += '&lt;span style="padding:0 8px;color:var(--muted);"&gt;…&lt;/span&gt;';</t>
  </si>
  <si>
    <t>else        btns += `&lt;button class="pb${x===page?' on':''}" onclick="prodGoPage(${x})"&gt;${x}&lt;/button&gt;`;</t>
  </si>
  <si>
    <t>pager.innerHTML = `&lt;span class="pag-info"&gt;Analyzing &lt;strong&gt;${start+1}–${endIdx}&lt;/strong&gt; of &lt;strong&gt;${total}&lt;/strong&gt;&lt;/span&gt;</t>
  </si>
  <si>
    <t>&lt;button class="pb" onclick="prodGoPage(${page-1})" ${page&lt;=1?'disabled':''}&gt;&amp;larr; Prev&lt;/button&gt;</t>
  </si>
  <si>
    <t>.gap {</t>
  </si>
  <si>
    <t>${btns}</t>
  </si>
  <si>
    <t>&lt;button class="pb" onclick="prodGoPage(${page+1})" ${page&gt;=pages?'disabled':''}&gt;Next &amp;rarr;&lt;/button&gt;</t>
  </si>
  <si>
    <t>.row-actions {</t>
  </si>
  <si>
    <t>var sync = document.getElementById('prod-sync');</t>
  </si>
  <si>
    <t>if(sync &amp;&amp; d.generated_at) sync.textContent = 'Last synced at '+d.generated_at.split(' ')[1]+' (30s refresh)';</t>
  </si>
  <si>
    <t>/* ── MOBILE ─────────────────────────────────────── */</t>
  </si>
  <si>
    <t>.sb-toggle {</t>
  </si>
  <si>
    <t>// REQUISITION</t>
  </si>
  <si>
    <t>function loadReqTab(){</t>
  </si>
  <si>
    <t>if(!S.products.length) loadProds(function(){ addReqItem(); });</t>
  </si>
  <si>
    <t>else if(!S.req.items.length) addReqItem();</t>
  </si>
  <si>
    <t>padding: 8px;</t>
  </si>
  <si>
    <t>loadReqStats();</t>
  </si>
  <si>
    <t>reqSubTab('issue');</t>
  </si>
  <si>
    <t>@media(max-width:840px) {</t>
  </si>
  <si>
    <t>function reqSubTab(name){</t>
  </si>
  <si>
    <t>['issue','open','history','insights'].forEach(function(t){</t>
  </si>
  <si>
    <t>var panel=document.getElementById('req-panel-'+t);</t>
  </si>
  <si>
    <t>var btn=document.getElementById('reqst-'+t);</t>
  </si>
  <si>
    <t>if(panel) panel.style.display=t===name?'block':'none';</t>
  </si>
  <si>
    <t>bottom: 0;</t>
  </si>
  <si>
    <t>if(btn) btn.classList.toggle('on',t===name);</t>
  </si>
  <si>
    <t>z-index: 100;</t>
  </si>
  <si>
    <t>transform: translateX(-100%);</t>
  </si>
  <si>
    <t>if(name==='open') loadReqOpen();</t>
  </si>
  <si>
    <t>if(name==='history') loadReqHistory();</t>
  </si>
  <si>
    <t>if(name==='insights') loadReqInsights();</t>
  </si>
  <si>
    <t>.sidebar.open {</t>
  </si>
  <si>
    <t>function addReqItem(){</t>
  </si>
  <si>
    <t>var id='rqi_'+Date.now()+'_'+Math.random().toString(36).slice(2,5);</t>
  </si>
  <si>
    <t>var sizes={};(S.config?.sizes||['S','M','L','XL','2XL','3XL']).forEach(function(s){sizes[s]=0;});</t>
  </si>
  <si>
    <t>S.req.items.push({id:id,style_no:'',sizes:sizes});</t>
  </si>
  <si>
    <t>renderReqItems();</t>
  </si>
  <si>
    <t>function removeReqItem(id){</t>
  </si>
  <si>
    <t>margin-left: 0 !important;</t>
  </si>
  <si>
    <t>S.req.items=S.req.items.filter(function(i){return i.id!==id;});</t>
  </si>
  <si>
    <t>if(!S.req.items.length) addReqItem();</t>
  </si>
  <si>
    <t>else renderReqItems();</t>
  </si>
  <si>
    <t>grid-template-columns: 1fr auto;</t>
  </si>
  <si>
    <t>function updateReqItemStyle(id,val){</t>
  </si>
  <si>
    <t>var it=S.req.items.find(function(x){return x.id===id;});</t>
  </si>
  <si>
    <t>if(it) it.style_no=val.trim();</t>
  </si>
  <si>
    <t>.oc-head&gt;*:nth-child(n+3) {</t>
  </si>
  <si>
    <t>grid-column: 1/-1;</t>
  </si>
  <si>
    <t>function updateReqItemSize(id,sz,val){</t>
  </si>
  <si>
    <t>if(it) it.sizes[sz]=Math.max(0,Number(val)||0);</t>
  </si>
  <si>
    <t>updateReqSummary();</t>
  </si>
  <si>
    <t>function renderReqItems(){</t>
  </si>
  <si>
    <t>.item-avail,</t>
  </si>
  <si>
    <t>var sizes=S.config?.sizes||['S','M','L','XL','2XL','3XL'];</t>
  </si>
  <si>
    <t>document.getElementById('rq-items-list').innerHTML=S.req.items.map(function(it){</t>
  </si>
  <si>
    <t>grid-column: span 2;</t>
  </si>
  <si>
    <t>var p=S.productMap[it.style_no];</t>
  </si>
  <si>
    <t>var sizeInputs=sizes.map(function(sz){</t>
  </si>
  <si>
    <t>return `&lt;div class="field" style="flex:1;"&gt;&lt;label style="font-size:11px;"&gt;${sz}&lt;/label&gt;</t>
  </si>
  <si>
    <t>&lt;input type="number" class="mono" min="0" placeholder="0" value="${it.sizes[sz]||''}" oninput="updateReqItemSize('${it.id}','${sz}',this.value)" style="padding:8px 10px;"&gt;&lt;/div&gt;`;</t>
  </si>
  <si>
    <t>.sb-overlay {</t>
  </si>
  <si>
    <t>var total=sizes.reduce(function(s,sz){return s+(it.sizes[sz]||0);},0);</t>
  </si>
  <si>
    <t>return `&lt;div style="border:1px solid var(--border);border-radius:12px;padding:20px;background:var(--surface-hover);"&gt;</t>
  </si>
  <si>
    <t>inset: 0;</t>
  </si>
  <si>
    <t>&lt;div style="display:flex;gap:16px;align-items:center;margin-bottom:16px;"&gt;</t>
  </si>
  <si>
    <t>background: rgba(0, 0, 0, .5);</t>
  </si>
  <si>
    <t>&lt;div class="field" style="flex:1;"&gt;</t>
  </si>
  <si>
    <t>z-index: 99;</t>
  </si>
  <si>
    <t>&lt;input class="mono" list="products-list" value="${esc(it.style_no)}" placeholder="Select Style No." oninput="updateReqItemStyle('${it.id}',this.value)"&gt;</t>
  </si>
  <si>
    <t>${p?`&lt;div style="font-size:12px;color:var(--muted);margin-top:6px;font-weight:500;"&gt;${esc(p.product_name)}&lt;/div&gt;`:''}</t>
  </si>
  <si>
    <t>.sb-overlay.show {</t>
  </si>
  <si>
    <t>&lt;div style="font-size:14px;font-weight:600;color:var(--ink2);background:var(--surface);border:1px solid var(--border);padding:8px 16px;border-radius:var(--r-pill);"&gt;Estimate: &lt;span class="mono" style="color:var(--amber);"&gt;${total}&lt;/span&gt; pcs&lt;/div&gt;</t>
  </si>
  <si>
    <t>&lt;button class="rm-btn" onclick="removeReqItem('${it.id}')"&gt;&amp;times;&lt;/button&gt;</t>
  </si>
  <si>
    <t>&lt;div style="display:flex;gap:12px;flex-wrap:wrap;"&gt;${sizeInputs}&lt;/div&gt;</t>
  </si>
  <si>
    <t>function updateReqSummary(){</t>
  </si>
  <si>
    <t>var sizes=S.config?.sizes||[];</t>
  </si>
  <si>
    <t>var totalPcs=0,validItems=0;</t>
  </si>
  <si>
    <t>S.req.items.forEach(function(it){</t>
  </si>
  <si>
    <t>if(!it.style_no) return;</t>
  </si>
  <si>
    <t>&lt;div class="sb-tagline"&gt;Inventory Management&lt;/div&gt;</t>
  </si>
  <si>
    <t>var t=sizes.reduce(function(s,sz){return s+(it.sizes[sz]||0);},0);</t>
  </si>
  <si>
    <t>if(t&gt;0){totalPcs+=t;validItems++;}</t>
  </si>
  <si>
    <t>document.getElementById('rq-summary').innerHTML=validItems</t>
  </si>
  <si>
    <t>?`&lt;strong&gt;${validItems}&lt;/strong&gt; styles &amp;nbsp;&amp;middot;&amp;nbsp; &lt;strong&gt;${totalPcs}&lt;/strong&gt; total estimated yield`</t>
  </si>
  <si>
    <t>&lt;svg fill="none" stroke="currentColor" viewBox="0 0 24 24"&gt;</t>
  </si>
  <si>
    <t>:'Setup manufacturing run parameters';</t>
  </si>
  <si>
    <t>&lt;rect x="3" y="3" width="7" height="7" rx="1" /&gt;</t>
  </si>
  <si>
    <t>&lt;rect x="14" y="3" width="7" height="7" rx="1" /&gt;</t>
  </si>
  <si>
    <t>function resetReqForm(){</t>
  </si>
  <si>
    <t>&lt;rect x="3" y="14" width="7" height="7" rx="1" /&gt;</t>
  </si>
  <si>
    <t>S.req.items=[];</t>
  </si>
  <si>
    <t>&lt;rect x="14" y="14" width="7" height="7" rx="1" /&gt;</t>
  </si>
  <si>
    <t>['rq-master','rq-fabric','rq-meters','rq-notes'].forEach(function(id){var el=document.getElementById(id);if(el)el.value='';});</t>
  </si>
  <si>
    <t>addReqItem();</t>
  </si>
  <si>
    <t>function submitReqFn(){</t>
  </si>
  <si>
    <t>var master=document.getElementById('rq-master').value.trim();</t>
  </si>
  <si>
    <t>var fabric=document.getElementById('rq-fabric').value.trim();</t>
  </si>
  <si>
    <t>&lt;circle cx="12" cy="12" r="9" /&gt;</t>
  </si>
  <si>
    <t>var meters=Number(document.getElementById('rq-meters').value);</t>
  </si>
  <si>
    <t>&lt;line x1="12" y1="8" x2="12" y2="16" /&gt;</t>
  </si>
  <si>
    <t>var notes=document.getElementById('rq-notes').value.trim();</t>
  </si>
  <si>
    <t>&lt;line x1="8" y1="12" x2="16" y2="12" /&gt;</t>
  </si>
  <si>
    <t>if(!master) return toast('Master/Tailor name is required','error');</t>
  </si>
  <si>
    <t>if(!fabric) return toast('Fabric designation required','error');</t>
  </si>
  <si>
    <t>if(!meters||meters&lt;=0) return toast('Valid yardage/meters required','error');</t>
  </si>
  <si>
    <t>&lt;div class="sb-section" style="margin-top:6px;"&gt;Records&lt;/div&gt;</t>
  </si>
  <si>
    <t>var items=[];</t>
  </si>
  <si>
    <t>for(var i=0;i&lt;S.req.items.length;i++){</t>
  </si>
  <si>
    <t>var it=S.req.items[i];</t>
  </si>
  <si>
    <t>&lt;path d="M9 5H7a2 2 0 0 0-2 2v12a2 2 0 0 0 2 2h10a2 2 0 0 0 2-2V7a2 2 0 0 0-2-2h-2" /&gt;</t>
  </si>
  <si>
    <t>if(!it.style_no) continue;</t>
  </si>
  <si>
    <t>&lt;rect x="9" y="3" width="6" height="4" rx="1" /&gt;</t>
  </si>
  <si>
    <t>&lt;line x1="9" y1="12" x2="15" y2="12" /&gt;</t>
  </si>
  <si>
    <t>if(t&lt;=0){return toast('Enter estimated yield for '+it.style_no,'error');}</t>
  </si>
  <si>
    <t>&lt;line x1="9" y1="16" x2="13" y2="16" /&gt;</t>
  </si>
  <si>
    <t>if(!S.productMap[it.style_no]){return toast('Unknown style code: '+it.style_no,'error');}</t>
  </si>
  <si>
    <t>items.push({style_no:it.style_no,estimates:it.sizes});</t>
  </si>
  <si>
    <t>if(!items.length) return toast('Define at least one production output','error');</t>
  </si>
  <si>
    <t>var btn=document.getElementById('rq-submit-btn');btn.disabled=true;btn.textContent='Executing Protocol...';</t>
  </si>
  <si>
    <t>&lt;path</t>
  </si>
  <si>
    <t>d="M21 16V8a2 2 0 0 0-1-1.73l-7-4a2 2 0 0 0-2 0l-7 4A2 2 0 0 0 3 8v8a2 2 0 0 0 1 1.73l7 4a2 2 0 0 0 2 0l7-4A2 2 0 0 0 21 16z" /&gt;</t>
  </si>
  <si>
    <t>&lt;polyline points="3.27 6.96 12 12.01 20.73 6.96" /&gt;</t>
  </si>
  <si>
    <t>btn.disabled=false;btn.textContent='Issue Requisition';</t>
  </si>
  <si>
    <t>&lt;line x1="12" y1="22.08" x2="12" y2="12" /&gt;</t>
  </si>
  <si>
    <t>if(r.success){toast(`Manufacturing Run ${r.req_id} Initiated`,'success');resetReqForm();loadReqStats();}</t>
  </si>
  <si>
    <t>else toast(r.error||'Failed to issue fabric','error');</t>
  </si>
  <si>
    <t>.withFailureHandler(function(e){btn.disabled=false;btn.textContent='Issue Requisition';toast('Server Fault: '+e.message,'error');})</t>
  </si>
  <si>
    <t>.createRequisition({master,fabric_name:fabric,meters_issued:meters,notes,items});</t>
  </si>
  <si>
    <t>&lt;polyline points="22 12 18 12 15 21 9 3 6 12 2 12" /&gt;</t>
  </si>
  <si>
    <t>// ── Open Requisitions ──</t>
  </si>
  <si>
    <t>function loadReqOpen(){</t>
  </si>
  <si>
    <t>document.getElementById('req-open-list').innerHTML='&lt;div class="loader"&gt;Querying Batches...&lt;/div&gt;';</t>
  </si>
  <si>
    <t>&lt;div class="sb-section" style="margin-top:6px;"&gt;Reports&lt;/div&gt;</t>
  </si>
  <si>
    <t>.withSuccessHandler(function(reqs){ S.req.openReqs=reqs||[]; renderReqOpen(); })</t>
  </si>
  <si>
    <t>.withFailureHandler(function(e){document.getElementById('req-open-list').innerHTML='&lt;div class="empty"&gt;System Error: '+e.message+'&lt;/div&gt;';})</t>
  </si>
  <si>
    <t>&lt;path d="M3 3v18h18" /&gt;</t>
  </si>
  <si>
    <t>.getRequisitions({status:'OPEN'});</t>
  </si>
  <si>
    <t>&lt;path d="M18 17V9" /&gt;</t>
  </si>
  <si>
    <t>&lt;path d="M13 17V5" /&gt;</t>
  </si>
  <si>
    <t>function renderReqOpen(){</t>
  </si>
  <si>
    <t>&lt;path d="M8 17v-3" /&gt;</t>
  </si>
  <si>
    <t>var reqs=S.req.openReqs;</t>
  </si>
  <si>
    <t>if(!reqs.length){document.getElementById('req-open-list').innerHTML='&lt;div class="empty"&gt;&lt;strong&gt;No manufacturing runs currently open&lt;/strong&gt;&lt;/div&gt;';return;}</t>
  </si>
  <si>
    <t>var html=reqs.map(function(r){</t>
  </si>
  <si>
    <t>&lt;div class="sb-section" style="margin-top:6px;"&gt;Manufacturing&lt;/div&gt;</t>
  </si>
  <si>
    <t>var itemsHtml=r.items.map(function(it){</t>
  </si>
  <si>
    <t>var szHtml=sizes.map(function(sz){return `&lt;span class="mono" style="font-size:12px;margin-right:12px;display:inline-block;"&gt;${sz}: &lt;span style="font-weight:600;color:var(--ink);"&gt;${it.estimates[sz]}&lt;/span&gt;&lt;/span&gt;`;}).join('');</t>
  </si>
  <si>
    <t>return `&lt;div style="padding:16px 20px;border-bottom:1px solid var(--border);background:var(--surface-hover);"&gt;</t>
  </si>
  <si>
    <t>&lt;path d="M14 2H6a2 2 0 0 0-2 2v16a2 2 0 0 0 2 2h12a2 2 0 0 0 2-2V8z"/&gt;</t>
  </si>
  <si>
    <t>&lt;div style="display:flex;justify-content:space-between;align-items:center;margin-bottom:8px;"&gt;</t>
  </si>
  <si>
    <t>&lt;polyline points="14 2 14 8 20 8"/&gt;</t>
  </si>
  <si>
    <t>&lt;span style="font-weight:500;"&gt;&lt;span class="mono" style="color:var(--blue);font-weight:700;margin-right:6px;"&gt;${esc(it.style_no)}&lt;/span&gt; ${esc(it.product_name)}&lt;/span&gt;</t>
  </si>
  <si>
    <t>&lt;line x1="16" y1="13" x2="8" y2="13"/&gt;</t>
  </si>
  <si>
    <t>&lt;span class="mono" style="font-weight:700;color:var(--amber);background:var(--amber-l);padding:4px 10px;border-radius:var(--r-pill);font-size:13px;"&gt;${it.est_total} projected&lt;/span&gt;</t>
  </si>
  <si>
    <t>&lt;line x1="16" y1="17" x2="8" y2="17"/&gt;</t>
  </si>
  <si>
    <t>&lt;div style="color:var(--muted);"&gt;${szHtml}&lt;/div&gt;</t>
  </si>
  <si>
    <t>&lt;div class="sb-section" style="margin-top:6px;"&gt;Stock&lt;/div&gt;</t>
  </si>
  <si>
    <t>return `&lt;div style="border:1px solid var(--border);border-radius:16px;margin:20px;overflow:hidden;box-shadow:var(--shadow-sm);"&gt;</t>
  </si>
  <si>
    <t>&lt;div style="background:var(--surface2);padding:16px 20px;display:flex;justify-content:space-between;align-items:center;border-bottom:1px solid var(--border);"&gt;</t>
  </si>
  <si>
    <t>&lt;path d="M12 20h9" /&gt;</t>
  </si>
  <si>
    <t>&lt;div class="mono" style="font-weight:700;font-size:15px;color:var(--ink);"&gt;${r.req_id}&lt;/div&gt;</t>
  </si>
  <si>
    <t>&lt;path d="M16.5 3.5a2.121 2.121 0 0 1 3 3L7 19l-4 1 1-4L16.5 3.5z" /&gt;</t>
  </si>
  <si>
    <t>&lt;div style="font-size:13px;color:var(--muted);margin-top:4px;"&gt;Master: &lt;strong&gt;${esc(r.master)}&lt;/strong&gt; &amp;nbsp;&amp;middot;&amp;nbsp; ${esc(r.fabric_name)} (${r.meters_issued}m) &amp;nbsp;&amp;middot;&amp;nbsp; Created: ${r.created_at.split(' ')[0]}&lt;/div&gt;</t>
  </si>
  <si>
    <t>&lt;span class="badge b-Pending"&gt;IN PROGRESS&lt;/span&gt;</t>
  </si>
  <si>
    <t>${itemsHtml}</t>
  </si>
  <si>
    <t>&lt;div style="padding:16px 20px;display:flex;gap:12px;justify-content:flex-end;"&gt;</t>
  </si>
  <si>
    <t>&lt;button class="btn btn-ghost" onclick="cancelReqFn('${r.req_id}')"&gt;Revoke Batch&lt;/button&gt;</t>
  </si>
  <si>
    <t>&lt;button class="btn btn-primary" onclick="openRecvModal('${r.req_id}')"&gt;Receive Goods&lt;/button&gt;</t>
  </si>
  <si>
    <t>&lt;div class="sb-email" id="sb-email"&gt;loading…&lt;/div&gt;</t>
  </si>
  <si>
    <t>document.getElementById('req-open-list').innerHTML=html;</t>
  </si>
  <si>
    <t>function cancelReqFn(reqId){</t>
  </si>
  <si>
    <t>var reason=prompt('Cancel ' + reqId + '?\nProvide a reason to log this anomaly:');</t>
  </si>
  <si>
    <t>&lt;div class="sb-overlay" id="sb-overlay" onclick="closeSidebar()"&gt;&lt;/div&gt;</t>
  </si>
  <si>
    <t>if(reason===null) return;</t>
  </si>
  <si>
    <t>if(r.success){toast('Manufacturing run revoked','success');loadReqOpen();loadReqStats();}</t>
  </si>
  <si>
    <t>else toast(r.error||'Revocation failed','error');</t>
  </si>
  <si>
    <t>.withFailureHandler(function(e){toast('Network Error: '+e.message,'error');})</t>
  </si>
  <si>
    <t>&lt;div style="display:flex;align-items:center;gap:12px;"&gt;</t>
  </si>
  <si>
    <t>.cancelRequisition(reqId,reason||'');</t>
  </si>
  <si>
    <t>&lt;button class="sb-toggle" onclick="toggleSidebar()"&gt;</t>
  </si>
  <si>
    <t>&lt;svg width="20" height="20" fill="none" stroke="currentColor" viewBox="0 0 24 24"&gt;&lt;line x1="3" y1="6" x2="21" y2="6"/&gt;&lt;line x1="3" y1="12" x2="21" y2="12"/&gt;&lt;line x1="3" y1="18" x2="21" y2="18"/&gt;&lt;/svg&gt;</t>
  </si>
  <si>
    <t>&lt;/button&gt;</t>
  </si>
  <si>
    <t>var _recvReq=null;</t>
  </si>
  <si>
    <t>function openRecvModal(reqId){</t>
  </si>
  <si>
    <t>var r=S.req.openReqs.find(function(x){return x.req_id===reqId;});</t>
  </si>
  <si>
    <t>if(!r){toast('Cannot resolve record ID','error');return;}</t>
  </si>
  <si>
    <t>_recvReq=r;</t>
  </si>
  <si>
    <t>document.getElementById('recv-title').textContent=reqId;</t>
  </si>
  <si>
    <t>&lt;div class="tb-actions" id="tb-actions"&gt;&lt;/div&gt;</t>
  </si>
  <si>
    <t>var html=`&lt;div style="background:var(--surface2);border-radius:12px;padding:16px;margin-bottom:24px;border:1px solid var(--border);"&gt;</t>
  </si>
  <si>
    <t>&lt;div style="font-size:14px;"&gt;Master &lt;strong&gt;${esc(r.master)}&lt;/strong&gt; was issued &lt;span class="mono" style="color:var(--blue);font-weight:600;"&gt;${r.meters_issued}m&lt;/span&gt; of &lt;strong&gt;${esc(r.fabric_name)}&lt;/strong&gt;&lt;/div&gt;</t>
  </si>
  <si>
    <t>for(var i=0;i&lt;r.items.length;i++){</t>
  </si>
  <si>
    <t>&lt;div id="tab-dashboard"&gt;</t>
  </si>
  <si>
    <t>var it=r.items[i];</t>
  </si>
  <si>
    <t>&lt;div class="kpi-grid" id="kpi-grid"&gt;</t>
  </si>
  <si>
    <t>html+=`&lt;div style="border:1px solid var(--border);border-radius:16px;margin-bottom:24px;overflow:hidden;" id="recv-card-${it.line_no}"&gt;</t>
  </si>
  <si>
    <t>&lt;div class="loader"&gt;loading…&lt;/div&gt;</t>
  </si>
  <si>
    <t>&lt;div style="background:var(--surface2);padding:16px 20px;border-bottom:1px solid var(--border);display:flex;justify-content:space-between;align-items:center;"&gt;</t>
  </si>
  <si>
    <t>&lt;div style="font-weight:500;font-size:15px;"&gt;&lt;span class="mono" style="color:var(--blue);font-weight:700;"&gt;${esc(it.style_no)}&lt;/span&gt; &amp;nbsp;&amp;middot;&amp;nbsp; ${esc(it.product_name)}&lt;/div&gt;</t>
  </si>
  <si>
    <t>&lt;div style="font-size:13px;color:var(--muted);"&gt;Expected Yield: &lt;span class="mono" style="color:var(--ink);font-size:16px;font-weight:700;margin-left:6px;"&gt;${it.est_total}&lt;/span&gt;&lt;/div&gt;</t>
  </si>
  <si>
    <t>&lt;div class="card-title"&gt;Channel Performance — Today&lt;/div&gt;</t>
  </si>
  <si>
    <t>&lt;button class="btn btn-ghost btn-sm" onclick="loadDashboard()"&gt;</t>
  </si>
  <si>
    <t>&lt;div style="padding:20px;"&gt;</t>
  </si>
  <si>
    <t>&lt;svg width="13" height="13" fill="none" stroke="currentColor" viewBox="0 0 24 24"&gt;&lt;polyline points="23 4 23 10 17 10"/&gt;&lt;path d="M20.49 15a9 9 0 1 1-2.12-9.36L23 10"/&gt;&lt;/svg&gt;Refresh</t>
  </si>
  <si>
    <t>&lt;div style="font-weight:600;font-size:14px;margin-bottom:16px;color:var(--ink);"&gt;1. Input verified finished goods&lt;/div&gt;</t>
  </si>
  <si>
    <t>&lt;div style="display:flex;gap:12px;flex-wrap:wrap;margin-bottom:16px;"&gt;`;</t>
  </si>
  <si>
    <t>&lt;div class="card-body" id="dash-channels"&gt;</t>
  </si>
  <si>
    <t>for(var s=0;s&lt;sizes.length;s++){</t>
  </si>
  <si>
    <t>var estVal=it.estimates[sizes[s]]||0;</t>
  </si>
  <si>
    <t>html+=`&lt;div style="flex:1;min-width:75px;"&gt;</t>
  </si>
  <si>
    <t>&lt;div style="font-size:11px;color:var(--muted);font-weight:600;margin-bottom:6px;text-align:center;"&gt;${sizes[s]} &lt;span style="opacity:.6;font-weight:400;"&gt;(${estVal})&lt;/span&gt;&lt;/div&gt;</t>
  </si>
  <si>
    <t>&lt;input type="number" class="mono" min="0" value="${estVal}" style="width:100%;text-align:center;font-size:16px;font-weight:700;padding:12px 8px;" id="recv-act-${it.line_no}-${sizes[s]}" oninput="recvCalcLine(${it.line_no})"&gt;</t>
  </si>
  <si>
    <t>&lt;div class="card-title"&gt;Inventory Health&lt;/div&gt;</t>
  </si>
  <si>
    <t>&lt;div class="card-body" id="dash-health"&gt;</t>
  </si>
  <si>
    <t>html+=`&lt;/div&gt;</t>
  </si>
  <si>
    <t>&lt;div id="recv-calc-${it.line_no}" style="padding:16px;border-radius:12px;font-size:14px;font-weight:500;transition:var(--trans);"&gt;&lt;/div&gt;</t>
  </si>
  <si>
    <t>&lt;div id="recv-loss-wrap-${it.line_no}" style="display:none;margin-top:24px;border-top:1px dashed var(--border);padding-top:24px;animation:slideUpFade 0.3s ease;"&gt;</t>
  </si>
  <si>
    <t>&lt;div style="font-weight:600;font-size:14px;margin-bottom:16px;color:var(--red);"&gt;2. Reconcile missing pieces&lt;/div&gt;</t>
  </si>
  <si>
    <t>&lt;div style="display:grid;grid-template-columns:repeat(3, 1fr);gap:16px;"&gt;`;</t>
  </si>
  <si>
    <t>var reasons=[</t>
  </si>
  <si>
    <t>&lt;div class="card-title"&gt;Low Stock Alerts&lt;/div&gt;</t>
  </si>
  <si>
    <t>{key:'defective',label:'Defective',hint:'Failed QA'},</t>
  </si>
  <si>
    <t>&lt;span id="low-count-badge" class="badge b-Pending"&gt;&lt;/span&gt;</t>
  </si>
  <si>
    <t>{key:'fabric_shortage',label:'Fabric Short',hint:'Yield lower than expected'},</t>
  </si>
  <si>
    <t>{key:'cutting_waste',label:'Cutting Waste',hint:'Unusable fragments'},</t>
  </si>
  <si>
    <t>&lt;div class="card-body p0" id="dash-low"&gt;</t>
  </si>
  <si>
    <t>{key:'master_error',label:'Master Error',hint:'Sizing/Pattern faults'},</t>
  </si>
  <si>
    <t>{key:'shrinkage',label:'Shrinkage',hint:'Post-wash reduction'},</t>
  </si>
  <si>
    <t>{key:'other_loss',label:'Other Anomaly',hint:'Requires explanation'}</t>
  </si>
  <si>
    <t>];</t>
  </si>
  <si>
    <t>for(var k=0;k&lt;reasons.length;k++){</t>
  </si>
  <si>
    <t>&lt;div class="card-title"&gt;Recent Orders&lt;/div&gt;</t>
  </si>
  <si>
    <t>html+=`&lt;div style="background:var(--surface2);padding:12px;border-radius:var(--r);border:1px solid transparent;"&gt;</t>
  </si>
  <si>
    <t>&lt;div style="font-size:12px;font-weight:600;color:var(--ink2);margin-bottom:8px;"&gt;${reasons[k].label}&lt;/div&gt;</t>
  </si>
  <si>
    <t>&lt;div class="card-body p0" id="dash-recent"&gt;</t>
  </si>
  <si>
    <t>&lt;input type="number" class="mono" min="0" value="0" style="width:100%;font-size:15px;font-weight:600;" id="recv-${reasons[k].key}-${it.line_no}" oninput="recvCalcLine(${it.line_no})"&gt;</t>
  </si>
  <si>
    <t>&lt;div style="font-size:10px;color:var(--muted);margin-top:6px;line-height:1.2;"&gt;${reasons[k].hint}&lt;/div&gt;</t>
  </si>
  <si>
    <t>&lt;div id="recv-other-note-wrap-${it.line_no}" style="display:none;margin-top:16px;animation:slideUpFade 0.2s ease;"&gt;</t>
  </si>
  <si>
    <t>&lt;div class="field"&gt;&lt;label style="color:var(--red);"&gt;Explanation for "Other" loss strictly required *&lt;/label&gt;</t>
  </si>
  <si>
    <t>&lt;div id="tab-new-order" hidden&gt;</t>
  </si>
  <si>
    <t>&lt;input type="text" id="recv-other-note-${it.line_no}" placeholder="E.g., Transit theft, localized flooding..." oninput="recvCalcLine(${it.line_no})" style="border-color:var(--red);"&gt;&lt;/div&gt;</t>
  </si>
  <si>
    <t>&lt;div id="recv-loss-status-${it.line_no}" style="margin-top:16px;padding:12px 16px;border-radius:8px;font-size:13px;font-weight:600;font-family:'JetBrains Mono',monospace;"&gt;&lt;/div&gt;</t>
  </si>
  <si>
    <t>&lt;span style="font-size:12px;color:var(--muted);display:flex;align-items:center;gap:5px;"&gt;</t>
  </si>
  <si>
    <t>&lt;/div&gt;&lt;/div&gt;`;</t>
  </si>
  <si>
    <t>&lt;span style="width:7px;height:7px;background:#22c55e;border-radius:50%;display:inline-block;animation:pulse2 2s infinite;"&gt;&lt;/span&gt;</t>
  </si>
  <si>
    <t>Stock locked at submit</t>
  </si>
  <si>
    <t>html+=`&lt;div class="field" style="margin-top:20px;"&gt;&lt;label&gt;Delivery Ledger Notes (Optional)&lt;/label&gt;&lt;input type="text" id="recv-notes" placeholder="Invoice refs or general remarks"&gt;&lt;/div&gt;`;</t>
  </si>
  <si>
    <t>document.getElementById('recv-body').innerHTML=html;</t>
  </si>
  <si>
    <t>document.getElementById('req-recv-modal').style.display='block';</t>
  </si>
  <si>
    <t>for(var j=0;j&lt;r.items.length;j++) recvCalcLine(r.items[j].line_no);</t>
  </si>
  <si>
    <t>&lt;label&gt;Channel &lt;span class="req"&gt;*&lt;/span&gt;&lt;/label&gt;&lt;select id="f-channel" class="mono"&gt;&lt;/select&gt;&lt;/div&gt;</t>
  </si>
  <si>
    <t>// Kept identical logical flow from original for receiving reconciliation</t>
  </si>
  <si>
    <t>function recvCalcLine(lineNo){</t>
  </si>
  <si>
    <t>if(!_recvReq) return;</t>
  </si>
  <si>
    <t>var it=_recvReq.items.find(function(x){return x.line_no===lineNo;});</t>
  </si>
  <si>
    <t>if(!it) return;</t>
  </si>
  <si>
    <t>&lt;div class="field"&gt;&lt;label&gt;Buyer Name &lt;span class="req"&gt;*&lt;/span&gt;&lt;/label&gt;&lt;input type="text" id="f-buyer-name" placeholder="e.g. Rahul Sharma"&gt;</t>
  </si>
  <si>
    <t>var actTotal=0;</t>
  </si>
  <si>
    <t>for(var i=0;i&lt;sizes.length;i++){</t>
  </si>
  <si>
    <t>&lt;div class="field"&gt;&lt;label&gt;Email / Phone &lt;span class="req"&gt;*&lt;/span&gt;&lt;/label&gt;&lt;input type="text" id="f-buyer-contact" placeholder="email@example.com or +91…"&gt;</t>
  </si>
  <si>
    <t>var el=document.getElementById('recv-act-'+lineNo+'-'+sizes[i]);</t>
  </si>
  <si>
    <t>actTotal+=Number(el?el.value:0)||0;</t>
  </si>
  <si>
    <t>var gap=it.est_total-actTotal;</t>
  </si>
  <si>
    <t>&lt;div style="display:flex;justify-content:space-between;align-items:center;margin-bottom:10px;"&gt;</t>
  </si>
  <si>
    <t>var calcEl=document.getElementById('recv-calc-'+lineNo);</t>
  </si>
  <si>
    <t>var lossWrap=document.getElementById('recv-loss-wrap-'+lineNo);</t>
  </si>
  <si>
    <t>&lt;button class="btn btn-secondary btn-sm" onclick="addLineItem()"&gt;</t>
  </si>
  <si>
    <t>&lt;svg width="13" height="13" fill="none" stroke="currentColor" viewBox="0 0 24 24"&gt;&lt;line x1="12" y1="5" x2="12" y2="19"/&gt;&lt;line x1="5" y1="12" x2="19" y2="12"/&gt;&lt;/svg&gt;Add Item</t>
  </si>
  <si>
    <t>if(gap&lt;0){</t>
  </si>
  <si>
    <t>calcEl.style.background='var(--blue-s)';calcEl.style.color='var(--blue)';</t>
  </si>
  <si>
    <t>calcEl.innerHTML=`Verified &lt;strong&gt;${actTotal}&lt;/strong&gt; units. Manufacturing yielded a surplus of &lt;strong&gt;${Math.abs(gap)}&lt;/strong&gt; over the estimate.`;</t>
  </si>
  <si>
    <t>lossWrap.style.display='none';</t>
  </si>
  <si>
    <t>} else if(gap===0){</t>
  </si>
  <si>
    <t>calcEl.style.background='var(--green-s)';calcEl.style.color='var(--green)';</t>
  </si>
  <si>
    <t>&lt;div class="field" style="max-width:600px;"&gt;</t>
  </si>
  <si>
    <t>calcEl.innerHTML=`✓ Exact match. &lt;strong&gt;${actTotal}&lt;/strong&gt; units verified.`;</t>
  </si>
  <si>
    <t>calcEl.style.background='var(--amber-l)';calcEl.style.color='#b45309';</t>
  </si>
  <si>
    <t>calcEl.innerHTML=`Verified &lt;strong&gt;${actTotal}&lt;/strong&gt; units. Deficit of &lt;strong style="color:var(--red);"&gt;${gap} units&lt;/strong&gt; detected. Please reconcile below.`;</t>
  </si>
  <si>
    <t>&lt;div style="display:flex;gap:8px;"&gt;</t>
  </si>
  <si>
    <t>lossWrap.style.display='block';</t>
  </si>
  <si>
    <t>&lt;button class="btn btn-secondary" onclick="resetOrderForm()"&gt;Reset&lt;/button&gt;</t>
  </si>
  <si>
    <t>&lt;button class="btn btn-amber" id="submit-btn" onclick="submitOrderFn()"&gt;</t>
  </si>
  <si>
    <t>&lt;svg width="14" height="14" fill="none" stroke="currentColor" viewBox="0 0 24 24"&gt;&lt;polyline points="20 6 9 17 4 12"/&gt;&lt;/svg&gt;Submit Order</t>
  </si>
  <si>
    <t>var reasonKeys=['defective','fabric_shortage','cutting_waste','master_error','shrinkage','other_loss'];</t>
  </si>
  <si>
    <t>var lossTotal=0; var otherVal=0;</t>
  </si>
  <si>
    <t>for(var k=0;k&lt;reasonKeys.length;k++){</t>
  </si>
  <si>
    <t>var el2=document.getElementById('recv-'+reasonKeys[k]+'-'+lineNo);</t>
  </si>
  <si>
    <t>var v=Number(el2?el2.value:0)||0;</t>
  </si>
  <si>
    <t>lossTotal+=v;</t>
  </si>
  <si>
    <t>if(reasonKeys[k]==='other_loss') otherVal=v;</t>
  </si>
  <si>
    <t>&lt;div id="tab-orders" hidden&gt;</t>
  </si>
  <si>
    <t>var otherNoteWrap=document.getElementById('recv-other-note-wrap-'+lineNo);</t>
  </si>
  <si>
    <t>if(otherNoteWrap) otherNoteWrap.style.display=otherVal&gt;0?'block':'none';</t>
  </si>
  <si>
    <t>var otherNoteVal=(document.getElementById('recv-other-note-'+lineNo)?.value||'').trim();</t>
  </si>
  <si>
    <t>&lt;div class="card-title"&gt;All Orders&lt;/div&gt;</t>
  </si>
  <si>
    <t>var otherNoteValid=otherVal&lt;=0||otherNoteVal.length&gt;0;</t>
  </si>
  <si>
    <t>&lt;div style="display:flex;align-items:center;gap:10px;"&gt;</t>
  </si>
  <si>
    <t>&lt;span style="font-size:12px;color:var(--muted);font-family:'JetBrains Mono',monospace;" id="orders-summary"&gt;—&lt;/span&gt;</t>
  </si>
  <si>
    <t>var lossStatus=document.getElementById('recv-loss-status-'+lineNo);</t>
  </si>
  <si>
    <t>&lt;button class="btn btn-ghost btn-sm" onclick="loadOrders()"&gt;</t>
  </si>
  <si>
    <t>if(lossStatus &amp;&amp; gap&gt;0){</t>
  </si>
  <si>
    <t>if(lossTotal===gap &amp;&amp; otherNoteValid){</t>
  </si>
  <si>
    <t>lossStatus.style.background='var(--green-s)';lossStatus.style.color='var(--green)';</t>
  </si>
  <si>
    <t>lossStatus.innerHTML='✓ Ledger reconciled completely.';</t>
  </si>
  <si>
    <t>} else if(lossTotal===gap &amp;&amp; !otherNoteValid){</t>
  </si>
  <si>
    <t>lossStatus.style.background='var(--red-s)';lossStatus.style.color='var(--red)';</t>
  </si>
  <si>
    <t>lossStatus.innerHTML='⚠ Provide mandatory "Other" anomaly explanation.';</t>
  </si>
  <si>
    <t>} else if(lossTotal&lt;gap){</t>
  </si>
  <si>
    <t>&lt;input type="text" id="of-search" placeholder="Search order ID, buyer, product…" oninput="debOrders()"&gt;</t>
  </si>
  <si>
    <t>lossStatus.innerHTML=`⚠ Discrepancy: Account for exactly &lt;strong&gt;${gap-lossTotal}&lt;/strong&gt; more missing units.`;</t>
  </si>
  <si>
    <t>&lt;div style="display:flex;align-items:center;gap:8px;margin-left:auto;flex-shrink:0;flex-wrap:wrap;"&gt;</t>
  </si>
  <si>
    <t>&lt;select class="mono" id="of-channel" style="font-size:12px;width:120px;" onchange="filterOrders()"&gt;</t>
  </si>
  <si>
    <t>&lt;option value=""&gt;All Channels&lt;/option&gt;</t>
  </si>
  <si>
    <t>lossStatus.innerHTML=`⚠ Invalid: Accounted loss exceeds deficit by &lt;strong&gt;${lossTotal-gap}&lt;/strong&gt;.`;</t>
  </si>
  <si>
    <t>&lt;select class="mono" id="of-status" style="font-size:12px;width:120px;" onchange="filterOrders()"&gt;</t>
  </si>
  <si>
    <t>&lt;option value=""&gt;All Status&lt;/option&gt;</t>
  </si>
  <si>
    <t>var allGood=true,totalAct=0,totalLoss2=0;</t>
  </si>
  <si>
    <t>&lt;div style="display:flex;align-items:center;gap:4px;"&gt;</t>
  </si>
  <si>
    <t>for(var m=0;m&lt;_recvReq.items.length;m++){</t>
  </si>
  <si>
    <t>&lt;input type="date" id="of-from" class="mono" style="font-size:11px;width:120px;" onchange="filterOrders()" title="From date"&gt;</t>
  </si>
  <si>
    <t>var it2=_recvReq.items[m];var ln=it2.line_no;</t>
  </si>
  <si>
    <t>&lt;span style="font-size:11px;color:var(--muted);"&gt;to&lt;/span&gt;</t>
  </si>
  <si>
    <t>var a=0;for(var s2=0;s2&lt;sizes.length;s2++){var e4=document.getElementById('recv-act-'+ln+'-'+sizes[s2]);a+=Number(e4?e4.value:0)||0;}</t>
  </si>
  <si>
    <t>&lt;input type="date" id="of-to" class="mono" style="font-size:11px;width:120px;" onchange="filterOrders()" title="To date"&gt;</t>
  </si>
  <si>
    <t>var g=it2.est_total-a;var l=0;var otherV2=0;</t>
  </si>
  <si>
    <t>for(var k2=0;k2&lt;reasonKeys.length;k2++){var e5=document.getElementById('recv-'+reasonKeys[k2]+'-'+ln);var v2=Number(e5?e5.value:0)||0;l+=v2;if(reasonKeys[k2]==='other_loss')otherV2=v2;}</t>
  </si>
  <si>
    <t>&lt;select class="mono" id="of-ps" style="font-size:12px;width:70px;" onchange="ordChPageSize()"&gt;</t>
  </si>
  <si>
    <t>totalAct+=a;totalLoss2+=l;</t>
  </si>
  <si>
    <t>&lt;option value="15" selected&gt;15&lt;/option&gt;</t>
  </si>
  <si>
    <t>var otherN2=(document.getElementById('recv-other-note-'+ln)?.value||'').trim();</t>
  </si>
  <si>
    <t>&lt;option value="30"&gt;30&lt;/option&gt;</t>
  </si>
  <si>
    <t>if(g&gt;0 &amp;&amp; l!==g) allGood=false;</t>
  </si>
  <si>
    <t>&lt;option value="50"&gt;50&lt;/option&gt;</t>
  </si>
  <si>
    <t>if(otherV2&gt;0 &amp;&amp; !otherN2) allGood=false;</t>
  </si>
  <si>
    <t>&lt;option value="100"&gt;100&lt;/option&gt;</t>
  </si>
  <si>
    <t>document.getElementById('recv-summary').innerHTML=`&lt;span style="color:var(--green);"&gt;${totalAct}&lt;/span&gt; to asset ledger ${totalLoss2&gt;0?`&lt;span style="color:var(--muted);font-weight:400;margin:0 12px;"&gt;|&lt;/span&gt;&lt;span style="color:var(--red);"&gt;${totalLoss2}&lt;/span&gt; written off`:''}`;</t>
  </si>
  <si>
    <t>document.getElementById('recv-submit-btn').disabled=!allGood;</t>
  </si>
  <si>
    <t>&lt;div class="tbl-wrap" id="orders-table"&gt;&lt;div class="loader"&gt;loading…&lt;/div&gt;&lt;/div&gt;</t>
  </si>
  <si>
    <t>function submitReceiveFn(){</t>
  </si>
  <si>
    <t>&lt;div id="order-detail-modal" style="display:none;position:fixed;top:0;left:0;right:0;bottom:0;background:rgba(0,0,0,.5);z-index:1000;overflow-y:auto;padding:24px;"&gt;</t>
  </si>
  <si>
    <t>&lt;div style="max-width:600px;margin:40px auto;background:var(--surface);border-radius:12px;box-shadow:var(--shadow-md);overflow:hidden;"&gt;</t>
  </si>
  <si>
    <t>&lt;div style="padding:14px 20px;background:var(--sb);color:#fff;display:flex;align-items:center;justify-content:space-between;"&gt;</t>
  </si>
  <si>
    <t>for(var i=0;i&lt;_recvReq.items.length;i++){</t>
  </si>
  <si>
    <t>&lt;div&gt;&lt;div style="font-weight:600;font-size:15px;"&gt;Order Details&lt;/div&gt;&lt;div class="mono" style="font-size:12px;opacity:.7;" id="ord-modal-id"&gt;&lt;/div&gt;&lt;/div&gt;</t>
  </si>
  <si>
    <t>var it=_recvReq.items[i];</t>
  </si>
  <si>
    <t>&lt;button onclick="closeOrdModal()" style="background:none;border:none;color:#fff;font-size:22px;cursor:pointer;line-height:1;"&gt;×&lt;/button&gt;</t>
  </si>
  <si>
    <t>var actuals={};</t>
  </si>
  <si>
    <t>&lt;div id="ord-modal-body" style="padding:20px;"&gt;&lt;/div&gt;</t>
  </si>
  <si>
    <t>var el=document.getElementById('recv-act-'+it.line_no+'-'+sizes[s]);</t>
  </si>
  <si>
    <t>actuals[sizes[s]]=Number(el?el.value:0)||0;</t>
  </si>
  <si>
    <t>var lossData={};</t>
  </si>
  <si>
    <t>var el2=document.getElementById('recv-'+reasonKeys[k]+'-'+it.line_no);</t>
  </si>
  <si>
    <t>&lt;div id="tab-inventory" hidden&gt;</t>
  </si>
  <si>
    <t>lossData[reasonKeys[k]]=Number(el2?el2.value:0)||0;</t>
  </si>
  <si>
    <t>items.push({line_no:it.line_no,actuals:actuals,</t>
  </si>
  <si>
    <t>defective:lossData.defective,fabric_shortage:lossData.fabric_shortage,</t>
  </si>
  <si>
    <t>cutting_waste:lossData.cutting_waste,master_error:lossData.master_error,</t>
  </si>
  <si>
    <t>shrinkage:lossData.shrinkage,other_loss:lossData.other_loss,</t>
  </si>
  <si>
    <t>Auto-refresh 10s</t>
  </si>
  <si>
    <t>other_note:(document.getElementById('recv-other-note-'+it.line_no)?.value||'').trim()});</t>
  </si>
  <si>
    <t>var notes=(document.getElementById('recv-notes')?.value||'').trim();</t>
  </si>
  <si>
    <t>var btn=document.getElementById('recv-submit-btn');btn.disabled=true;btn.textContent='Authorizing ledger commit...';</t>
  </si>
  <si>
    <t>&lt;circle cx="11" cy="11" r="8" /&gt;</t>
  </si>
  <si>
    <t>btn.disabled=false;btn.textContent='Confirm &amp; Add Stock';</t>
  </si>
  <si>
    <t>&lt;line x1="21" y1="21" x2="16.65" y2="16.65" /&gt;</t>
  </si>
  <si>
    <t>toast('Ledger updated. '+r.total_added+' units moved to active inventory.','success');</t>
  </si>
  <si>
    <t>&lt;input type="text" id="inv-search" placeholder="Search style no. or product…" oninput="filterInv()"&gt;</t>
  </si>
  <si>
    <t>closeRecvModal();loadReqOpen();loadReqStats();loadProds();</t>
  </si>
  <si>
    <t>} else toast(r.error||'Database commit failed','error');</t>
  </si>
  <si>
    <t>&lt;div style="display:flex;align-items:center;gap:10px;margin-left:auto;flex-shrink:0;flex-wrap:wrap;"&gt;</t>
  </si>
  <si>
    <t>&lt;div style="display:flex;align-items:center;gap:6px;"&gt;</t>
  </si>
  <si>
    <t>.withFailureHandler(function(e){btn.disabled=false;btn.textContent='Confirm &amp; Add Stock';toast('Network Fault: '+e.message,'error');})</t>
  </si>
  <si>
    <t>&lt;span style="font-size:11px;color:var(--muted);font-family:'JetBrains Mono',monospace;"&gt;Sort&lt;/span&gt;</t>
  </si>
  <si>
    <t>.receiveRequisition({req_id:_recvReq.req_id,items:items,notes:notes});</t>
  </si>
  <si>
    <t>&lt;select class="mono" id="inv-sort" onchange="invSortChange()" style="width:130px;font-size:12px;"&gt;</t>
  </si>
  <si>
    <t>function closeRecvModal(){document.getElementById('req-recv-modal').style.display='none';_recvReq=null;}</t>
  </si>
  <si>
    <t>function loadReqStats(){</t>
  </si>
  <si>
    <t>&lt;option value="style_no:asc"&gt;Style No. A–Z&lt;/option&gt;</t>
  </si>
  <si>
    <t>.withSuccessHandler(function(stats){ S.req.stats=stats; renderReqKPI(stats); })</t>
  </si>
  <si>
    <t>.withFailureHandler(function(e){document.getElementById('req-kpi').innerHTML='&lt;div class="empty"&gt;'+e.message+'&lt;/div&gt;';})</t>
  </si>
  <si>
    <t>.getRequisitionStats();</t>
  </si>
  <si>
    <t>&lt;span style="font-size:11px;color:var(--muted);font-family:'JetBrains Mono',monospace;"&gt;Per page&lt;/span&gt;</t>
  </si>
  <si>
    <t>&lt;select class="mono" id="inv-ps" onchange="chPageSize()" style="width:72px;font-size:12px;"&gt;</t>
  </si>
  <si>
    <t>&lt;option value="20" selected&gt;20&lt;/option&gt;</t>
  </si>
  <si>
    <t>function renderReqKPI(s){</t>
  </si>
  <si>
    <t>document.getElementById('req-kpi').innerHTML=</t>
  </si>
  <si>
    <t>`&lt;div class="kpi amber"&gt;&lt;div class="kpi-label"&gt;Active Batches&lt;/div&gt;&lt;div class="kpi-value"&gt;${s.open_count}&lt;/div&gt;&lt;div class="kpi-sub"&gt;${(s.open_est_total).toLocaleString()} units projected&lt;/div&gt;&lt;/div&gt;</t>
  </si>
  <si>
    <t>&lt;option value="9999"&gt;All&lt;/option&gt;</t>
  </si>
  <si>
    <t>&lt;div class="kpi green"&gt;&lt;div class="kpi-label"&gt;Verified Receipt&lt;/div&gt;&lt;div class="kpi-value"&gt;${s.received_count}&lt;/div&gt;&lt;div class="kpi-sub"&gt;${(s.total_received).toLocaleString()} assets yielded&lt;/div&gt;&lt;/div&gt;</t>
  </si>
  <si>
    <t>&lt;div class="kpi blue"&gt;&lt;div class="kpi-label"&gt;Macro Efficiency&lt;/div&gt;&lt;div class="kpi-value"&gt;${s.efficiency}%&lt;/div&gt;&lt;div class="kpi-sub"&gt;Actual yield / Projected yield&lt;/div&gt;&lt;/div&gt;</t>
  </si>
  <si>
    <t>&lt;div class="kpi ${s.total_loss&gt;0?'red':'green'}"&gt;&lt;div class="kpi-label"&gt;Written Off&lt;/div&gt;&lt;div class="kpi-value"&gt;${s.total_loss}&lt;/div&gt;&lt;div class="kpi-sub"&gt;Across ${s.total_batches} total batches&lt;/div&gt;&lt;/div&gt;`;</t>
  </si>
  <si>
    <t>&lt;span id="inv-count" style="font-family:'JetBrains Mono',monospace;font-size:11px;color:var(--muted);min-width:80px;"&gt;&lt;/span&gt;</t>
  </si>
  <si>
    <t>&lt;button class="btn btn-ghost btn-sm" onclick="loadInv()" title="Refresh"&gt;</t>
  </si>
  <si>
    <t>&lt;svg width="13" height="13" fill="none" stroke="currentColor" viewBox="0 0 24 24"&gt;&lt;polyline points="23 4 23 10 17 10"/&gt;&lt;path d="M20.49 15a9 9 0 1 1-2.12-9.36L23 10"/&gt;&lt;/svg&gt;</t>
  </si>
  <si>
    <t>// ── History ──</t>
  </si>
  <si>
    <t>function loadReqHistory(){</t>
  </si>
  <si>
    <t>document.getElementById('req-hist-table').innerHTML='&lt;div class="loader"&gt;Querying Archive...&lt;/div&gt;';</t>
  </si>
  <si>
    <t>var filter=document.getElementById('req-hist-filter').value;</t>
  </si>
  <si>
    <t>&lt;div id="inv-table"&gt;</t>
  </si>
  <si>
    <t>.withSuccessHandler(function(reqs){S.req.historyData=reqs||[];renderReqHistory(reqs);})</t>
  </si>
  <si>
    <t>.withFailureHandler(function(e){document.getElementById('req-hist-table').innerHTML='&lt;div class="empty"&gt;Error: '+e.message+'&lt;/div&gt;';})</t>
  </si>
  <si>
    <t>.getRequisitions(filter?{status:filter}:{});</t>
  </si>
  <si>
    <t>function renderReqHistory(reqs){</t>
  </si>
  <si>
    <t>if(!reqs||!reqs.length){document.getElementById('req-hist-table').innerHTML='&lt;div class="empty"&gt;&lt;strong&gt;No archived requisitions matching criteria&lt;/strong&gt;&lt;/div&gt;';return;}</t>
  </si>
  <si>
    <t>var statusCls={'OPEN':'b-Pending','RECEIVED':'b-Confirmed','CANCELLED':'b-Cancelled'};</t>
  </si>
  <si>
    <t>&lt;div id="tab-update-stock" hidden&gt;</t>
  </si>
  <si>
    <t>var html='&lt;table&gt;&lt;thead style="background:var(--surface2);"&gt;&lt;tr&gt;&lt;th style="width:120px;"&gt;Req ID&lt;/th&gt;&lt;th&gt;Master&lt;/th&gt;&lt;th&gt;Fabric&lt;/th&gt;&lt;th style="text-align:right;"&gt;Meters&lt;/th&gt;&lt;th&gt;Styles Output&lt;/th&gt;&lt;th style="text-align:right;"&gt;Est Yield&lt;/th&gt;&lt;th style="text-align:right;"&gt;Act Yield&lt;/th&gt;&lt;th style="text-align:right;"&gt;Shrink/Loss&lt;/th&gt;&lt;th style="width:100px;"&gt;Status&lt;/th&gt;&lt;th style="width:100px;"&gt;Date&lt;/th&gt;&lt;th style="width:30px;"&gt;&lt;/th&gt;&lt;/tr&gt;&lt;/thead&gt;&lt;tbody&gt;';</t>
  </si>
  <si>
    <t>&lt;div class="card gap"&gt;</t>
  </si>
  <si>
    <t>for(var i=0;i&lt;reqs.length;i++){</t>
  </si>
  <si>
    <t>var r=reqs[i];</t>
  </si>
  <si>
    <t>var styles=r.items.map(function(it){return it.style_no;}).join(', ');</t>
  </si>
  <si>
    <t>&lt;span style="font-size:12px;color:var(--muted);"&gt;Writes to Sheet1 · Logged in Movements&lt;/span&gt;</t>
  </si>
  <si>
    <t>var lossColor=r.total_loss&gt;0?'var(--red)':'var(--muted)';</t>
  </si>
  <si>
    <t>html+=`&lt;tr style="cursor:pointer;" onclick="showReqDetail('${r.req_id}')"&gt;</t>
  </si>
  <si>
    <t>&lt;td class="mono" style="font-size:12px;color:var(--ink);font-weight:600;"&gt;${r.req_id.replace(/^REQ-\d{8}-/,'…')}&lt;/td&gt;</t>
  </si>
  <si>
    <t>&lt;div class="slabel"&gt;Select Product&lt;/div&gt;</t>
  </si>
  <si>
    <t>&lt;td style="font-weight:500;"&gt;${esc(r.master)}&lt;/td&gt;</t>
  </si>
  <si>
    <t>&lt;div style="display:flex;gap:10px;align-items:flex-end;flex-wrap:wrap;"&gt;</t>
  </si>
  <si>
    <t>&lt;td style="font-size:13px;"&gt;${esc(r.fabric_name)}&lt;/td&gt;</t>
  </si>
  <si>
    <t>&lt;div class="field" style="flex:1;min-width:200px;"&gt;</t>
  </si>
  <si>
    <t>&lt;td class="mono" style="text-align:right;"&gt;${r.meters_issued}&lt;/td&gt;</t>
  </si>
  <si>
    <t>&lt;label&gt;Style No. or Product Name&lt;/label&gt;</t>
  </si>
  <si>
    <t>&lt;td class="mono" style="font-size:12px;max-width:180px;overflow:hidden;text-overflow:ellipsis;white-space:nowrap;color:var(--muted);"&gt;${esc(styles)}&lt;/td&gt;</t>
  </si>
  <si>
    <t>&lt;input type="text" id="us-style" list="products-list" class="mono" placeholder="VH-EP10_ or Earth Plain…"&gt;</t>
  </si>
  <si>
    <t>&lt;td class="mono" style="text-align:right;font-weight:600;"&gt;${r.est_total}&lt;/td&gt;</t>
  </si>
  <si>
    <t>&lt;td class="mono" style="text-align:right;font-weight:700;color:var(--green);"&gt;${r.act_total||'—'}&lt;/td&gt;</t>
  </si>
  <si>
    <t>&lt;button class="btn btn-secondary" onclick="loadProd4Update()"&gt;Load Product&lt;/button&gt;</t>
  </si>
  <si>
    <t>&lt;td class="mono" style="text-align:right;font-weight:600;color:${lossColor};"&gt;${r.total_loss||'—'}&lt;/td&gt;</t>
  </si>
  <si>
    <t>&lt;td&gt;&lt;span class="badge ${statusCls[r.status]||''}"&gt;${r.status}&lt;/span&gt;&lt;/td&gt;</t>
  </si>
  <si>
    <t>&lt;div id="us-area" style="display:none;"&gt;</t>
  </si>
  <si>
    <t>&lt;td class="mono" style="font-size:12px;color:var(--muted);"&gt;${r.created_at.split(' ')[0]}&lt;/td&gt;</t>
  </si>
  <si>
    <t>&lt;div style="height:14px;"&gt;&lt;/div&gt;</t>
  </si>
  <si>
    <t>&lt;div style="display:flex;align-items:center;gap:14px;flex-wrap:wrap;margin-bottom:14px;"&gt;</t>
  </si>
  <si>
    <t>&lt;div class="slabel" style="margin:0;"&gt;Mode&lt;/div&gt;</t>
  </si>
  <si>
    <t>document.getElementById('req-hist-table').innerHTML=html;</t>
  </si>
  <si>
    <t>&lt;button id="m-add" class="mode-btn on" onclick="setMode('add')"&gt;＋ Add to stock&lt;/button&gt;</t>
  </si>
  <si>
    <t>&lt;button id="m-set" class="mode-btn" onclick="setMode('set')"&gt;＝ Set exact value&lt;/button&gt;</t>
  </si>
  <si>
    <t>function showReqDetail(reqId){</t>
  </si>
  <si>
    <t>var r=(S.req.historyData||[]).find(function(x){return x.req_id===reqId;});</t>
  </si>
  <si>
    <t>&lt;span id="m-hint" style="font-size:12px;color:var(--muted);"&gt;Enter units to add (negative to deduct)&lt;/span&gt;</t>
  </si>
  <si>
    <t>if(!r) r=(S.req.openReqs||[]).find(function(x){return x.req_id===reqId;});</t>
  </si>
  <si>
    <t>if(!r){toast('Requisition not found','error');return;}</t>
  </si>
  <si>
    <t>&lt;div class="tbl-wrap"&gt;</t>
  </si>
  <si>
    <t>&lt;table class="sg"&gt;</t>
  </si>
  <si>
    <t>&lt;thead&gt;</t>
  </si>
  <si>
    <t>var html=`&lt;div style="display:flex;justify-content:space-between;align-items:flex-start;margin-bottom:24px;"&gt;</t>
  </si>
  <si>
    <t>&lt;th style="width:80px;"&gt;Size&lt;/th&gt;</t>
  </si>
  <si>
    <t>&lt;th style="width:120px;text-align:center;"&gt;Current&lt;/th&gt;</t>
  </si>
  <si>
    <t>&lt;div class="mono" style="font-size:18px;font-weight:700;color:var(--ink);"&gt;${r.req_id}&lt;/div&gt;</t>
  </si>
  <si>
    <t>&lt;th style="width:160px;"&gt;Enter qty&lt;/th&gt;</t>
  </si>
  <si>
    <t>&lt;div style="font-size:13px;color:var(--muted);margin-top:4px;"&gt;Initiated on ${r.created_at}&lt;/div&gt;</t>
  </si>
  <si>
    <t>&lt;th&gt;Preview&lt;/th&gt;</t>
  </si>
  <si>
    <t>&lt;span class="badge ${statusCls[r.status]||''}"&gt;${r.status}&lt;/span&gt;</t>
  </si>
  <si>
    <t>html+=`&lt;div style="display:grid;grid-template-columns:repeat(3,1fr);gap:16px;margin-bottom:24px;"&gt;</t>
  </si>
  <si>
    <t>&lt;div style="background:var(--surface2);padding:16px;border-radius:12px;border:1px solid var(--border);"&gt;</t>
  </si>
  <si>
    <t>&lt;div style="font-size:11px;color:var(--muted);text-transform:uppercase;letter-spacing:0.05em;font-weight:600;"&gt;Manufacturing Master&lt;/div&gt;</t>
  </si>
  <si>
    <t>&lt;div class="field" style="max-width:500px;"&gt;</t>
  </si>
  <si>
    <t>&lt;div style="font-weight:600;margin-top:4px;font-size:15px;"&gt;${esc(r.master)}&lt;/div&gt;</t>
  </si>
  <si>
    <t>&lt;label&gt;Reason / Notes &lt;span class="req"&gt;*&lt;/span&gt;&lt;/label&gt;&lt;input type="text" id="us-notes" placeholder="e.g. Physical count 28 Apr · Restock batch #3"&gt;</t>
  </si>
  <si>
    <t>&lt;div style="font-size:11px;color:var(--muted);text-transform:uppercase;letter-spacing:0.05em;font-weight:600;"&gt;Material Reference&lt;/div&gt;</t>
  </si>
  <si>
    <t>&lt;div style="font-weight:600;margin-top:4px;font-size:15px;"&gt;${esc(r.fabric_name)}&lt;/div&gt;</t>
  </si>
  <si>
    <t>&lt;button class="btn btn-secondary" onclick="resetUS()"&gt;Reset&lt;/button&gt;</t>
  </si>
  <si>
    <t>&lt;button class="btn btn-success" id="us-btn" onclick="submitUS()"&gt;Update Stock →&lt;/button&gt;</t>
  </si>
  <si>
    <t>&lt;div style="font-size:11px;color:var(--muted);text-transform:uppercase;letter-spacing:0.05em;font-weight:600;"&gt;Issued Quantity&lt;/div&gt;</t>
  </si>
  <si>
    <t>&lt;div class="mono" style="font-weight:600;margin-top:4px;font-size:15px;color:var(--blue);"&gt;${r.meters_issued} meters&lt;/div&gt;</t>
  </si>
  <si>
    <t>&lt;div id="us-ph" class="empty" style="padding:40px 0;"&gt;</t>
  </si>
  <si>
    <t>&lt;strong&gt;Load a product to begin&lt;/strong&gt;Type a style number above and click Load Product</t>
  </si>
  <si>
    <t>if(r.status==='RECEIVED'){</t>
  </si>
  <si>
    <t>var eff=r.est_total&gt;0?Math.round((r.act_total/r.est_total)*100):0;</t>
  </si>
  <si>
    <t>var effColor=eff&gt;=90?'var(--green)':eff&gt;=75?'var(--amber)':'var(--red)';</t>
  </si>
  <si>
    <t>html+=`&lt;div style="display:grid;grid-template-columns:repeat(4,1fr);gap:12px;margin-bottom:32px;"&gt;</t>
  </si>
  <si>
    <t>&lt;div style="text-align:center;padding:16px;background:var(--amber-s);border-radius:12px;"&gt;&lt;div style="font-size:11px;color:var(--muted);text-transform:uppercase;font-weight:600;"&gt;Projected&lt;/div&gt;&lt;div class="mono" style="font-size:24px;font-weight:700;color:var(--amber);margin-top:4px;"&gt;${r.est_total}&lt;/div&gt;&lt;/div&gt;</t>
  </si>
  <si>
    <t>&lt;div style="text-align:center;padding:16px;background:var(--green-s);border-radius:12px;"&gt;&lt;div style="font-size:11px;color:var(--muted);text-transform:uppercase;font-weight:600;"&gt;Verified&lt;/div&gt;&lt;div class="mono" style="font-size:24px;font-weight:700;color:var(--green);margin-top:4px;"&gt;${r.act_total}&lt;/div&gt;&lt;/div&gt;</t>
  </si>
  <si>
    <t>&lt;div style="text-align:center;padding:16px;background:var(--red-s);border-radius:12px;"&gt;&lt;div style="font-size:11px;color:var(--muted);text-transform:uppercase;font-weight:600;"&gt;Deficit&lt;/div&gt;&lt;div class="mono" style="font-size:24px;font-weight:700;color:var(--red);margin-top:4px;"&gt;${r.total_loss}&lt;/div&gt;&lt;/div&gt;</t>
  </si>
  <si>
    <t>&lt;div style="text-align:center;padding:16px;background:var(--surface2);border-radius:12px;border:1px solid var(--border);"&gt;&lt;div style="font-size:11px;color:var(--muted);text-transform:uppercase;font-weight:600;"&gt;Efficiency&lt;/div&gt;&lt;div class="mono" style="font-size:24px;font-weight:700;color:${effColor};margin-top:4px;"&gt;${eff}%&lt;/div&gt;&lt;/div&gt;</t>
  </si>
  <si>
    <t>&lt;div class="card-title"&gt;Add New Product to Sheet1&lt;/div&gt;</t>
  </si>
  <si>
    <t>&lt;span style="font-size:12px;color:var(--muted);"&gt;Appends a new row&lt;/span&gt;</t>
  </si>
  <si>
    <t>&lt;div class="slabel"&gt;Product Details&lt;/div&gt;</t>
  </si>
  <si>
    <t>&lt;div class="fg" style="margin-bottom:18px;"&gt;</t>
  </si>
  <si>
    <t>html+=`&lt;div style="border:1px solid var(--border);border-radius:12px;margin-bottom:16px;overflow:hidden;"&gt;</t>
  </si>
  <si>
    <t>&lt;div class="field"&gt;&lt;label&gt;Style No. &lt;span class="req"&gt;*&lt;/span&gt;&lt;/label&gt;&lt;input type="text" id="np-style" class="mono" placeholder="e.g. VH-NEW01_" oninput="npPreview()"&gt;</t>
  </si>
  <si>
    <t>&lt;div style="background:var(--surface-hover);padding:12px 20px;display:flex;justify-content:space-between;align-items:center;border-bottom:1px solid var(--border);"&gt;</t>
  </si>
  <si>
    <t>&lt;div style="font-weight:600;"&gt;&lt;span class="mono" style="color:var(--blue);margin-right:8px;"&gt;${esc(it.style_no)}&lt;/span&gt;${esc(it.product_name)}&lt;/div&gt;</t>
  </si>
  <si>
    <t>&lt;div class="field"&gt;&lt;label&gt;Product Name &lt;span class="req"&gt;*&lt;/span&gt;&lt;/label&gt;&lt;input type="text" id="np-name" placeholder="e.g. NEW STYLE A" oninput="npPreview()"&gt;</t>
  </si>
  <si>
    <t>&lt;div class="mono" style="font-size:13px;"&gt;Est: &lt;strong style="color:var(--amber);"&gt;${it.est_total}&lt;/strong&gt; ${r.status==='RECEIVED'?`&amp;rarr; Got: &lt;strong style="color:var(--green);"&gt;${it.act_total}&lt;/strong&gt;`:''}&lt;/div&gt;</t>
  </si>
  <si>
    <t>&lt;div class="field"&gt;&lt;label&gt;Fabric (optional)&lt;/label&gt;&lt;input type="text" id="np-fabric" placeholder="e.g. Cotton 20 MTRS"&gt;</t>
  </si>
  <si>
    <t>&lt;div style="padding:16px;"&gt;</t>
  </si>
  <si>
    <t>&lt;table style="margin:0;font-size:13px;"&gt;</t>
  </si>
  <si>
    <t>&lt;thead style="background:transparent;"&gt;</t>
  </si>
  <si>
    <t>&lt;div class="slabel"&gt;Channels (up to 3)&lt;/div&gt;</t>
  </si>
  <si>
    <t>&lt;tr&gt;&lt;th style="padding-bottom:12px;"&gt;Matrics&lt;/th&gt;${sizes.map(s=&gt;`&lt;th style="text-align:center;padding-bottom:12px;"&gt;${s}&lt;/th&gt;`).join('')}&lt;th style="text-align:right;font-weight:700;padding-bottom:12px;"&gt;Sum&lt;/th&gt;&lt;/tr&gt;</t>
  </si>
  <si>
    <t>&lt;div id="np-ch" style="display:flex;flex-wrap:wrap;gap:8px;margin-bottom:18px;"&gt;&lt;/div&gt;</t>
  </si>
  <si>
    <t>&lt;div class="slabel"&gt;Initial Stock Per Size&lt;/div&gt;</t>
  </si>
  <si>
    <t>&lt;div id="np-sg"</t>
  </si>
  <si>
    <t>&lt;td style="font-weight:500;color:var(--muted);"&gt;Estimated&lt;/td&gt;</t>
  </si>
  <si>
    <t>style="display:grid;grid-template-columns:repeat(auto-fit,minmax(100px,1fr));gap:12px;margin-bottom:12px;"&gt;</t>
  </si>
  <si>
    <t>${sizes.map(s=&gt;`&lt;td class="mono" style="text-align:center;"&gt;${it.estimates[s]}&lt;/td&gt;`).join('')}</t>
  </si>
  <si>
    <t>&lt;td class="mono" style="text-align:right;font-weight:700;"&gt;${it.est_total}&lt;/td&gt;</t>
  </si>
  <si>
    <t>&lt;div id="np-ih-prev"</t>
  </si>
  <si>
    <t>style="font-family:'JetBrains Mono',monospace;font-size:13px;color:var(--muted);margin-bottom:4px;"&gt;</t>
  </si>
  <si>
    <t>html+=`&lt;tr&gt;</t>
  </si>
  <si>
    <t>&lt;td style="font-weight:600;color:var(--green);"&gt;Received&lt;/td&gt;</t>
  </si>
  <si>
    <t>${sizes.map(s=&gt;`&lt;td class="mono" style="text-align:center;color:var(--green);font-weight:600;"&gt;${it.actuals[s]}&lt;/td&gt;`).join('')}</t>
  </si>
  <si>
    <t>&lt;td class="mono" style="text-align:right;font-weight:700;color:var(--green);"&gt;${it.act_total}&lt;/td&gt;</t>
  </si>
  <si>
    <t>&lt;button class="btn btn-secondary" onclick="resetNP()"&gt;Reset&lt;/button&gt;</t>
  </si>
  <si>
    <t>&lt;button class="btn btn-primary" id="np-btn" onclick="submitNP()"&gt;</t>
  </si>
  <si>
    <t>&lt;svg width="13" height="13" fill="none" stroke="currentColor" viewBox="0 0 24 24"&gt;&lt;line x1="12" y1="5" x2="12" y2="19"/&gt;&lt;line x1="5" y1="12" x2="19" y2="12"/&gt;&lt;/svg&gt;Add Product to Sheet</t>
  </si>
  <si>
    <t>var hasLossPerSize=false;</t>
  </si>
  <si>
    <t>for(var s=0;s&lt;sizes.length;s++){if((it.estimates[sizes[s]]||0)-(it.actuals[sizes[s]]||0)&gt;0)hasLossPerSize=true;}</t>
  </si>
  <si>
    <t>if(hasLossPerSize){</t>
  </si>
  <si>
    <t>var lossRowTotal=0;</t>
  </si>
  <si>
    <t>html+=`&lt;tr style="background:var(--red-s);"&gt;</t>
  </si>
  <si>
    <t>&lt;td style="font-weight:600;color:var(--red);"&gt;Deficit&lt;/td&gt;`;</t>
  </si>
  <si>
    <t>var diff=(it.estimates[sizes[s]]||0)-(it.actuals[sizes[s]]||0);</t>
  </si>
  <si>
    <t>&lt;div id="tab-movements" hidden&gt;</t>
  </si>
  <si>
    <t>if(diff&lt;0) diff=0;</t>
  </si>
  <si>
    <t>lossRowTotal+=diff;</t>
  </si>
  <si>
    <t>html+=`&lt;td class="mono" style="text-align:center;font-weight:700;color:${diff&gt;0?'var(--red)':'var(--muted)'};"&gt;${diff&gt;0?'-'+diff:'0'}&lt;/td&gt;`;</t>
  </si>
  <si>
    <t>&lt;div class="card-title"&gt;Stock Movement Log&lt;/div&gt;</t>
  </si>
  <si>
    <t>&lt;button class="btn btn-ghost btn-sm" onclick="loadMov()"&gt;</t>
  </si>
  <si>
    <t>html+=`&lt;td class="mono" style="text-align:right;font-weight:700;color:var(--red);"&gt;-${lossRowTotal}&lt;/td&gt;&lt;/tr&gt;`;</t>
  </si>
  <si>
    <t>&lt;div class="tbl-wrap" id="mov-table"&gt;</t>
  </si>
  <si>
    <t>if(r.status==='RECEIVED' &amp;&amp; it.total_loss&gt;0){</t>
  </si>
  <si>
    <t>var losses=[</t>
  </si>
  <si>
    <t>{label:'Defective',val:it.defective,color:'#ef4444'},</t>
  </si>
  <si>
    <t>{label:'Fabric Short',val:it.fabric_shortage,color:'#f97316'},</t>
  </si>
  <si>
    <t>{label:'Cutting Waste',val:it.cutting_waste,color:'#ea580c'},</t>
  </si>
  <si>
    <t>{label:'Master Error',val:it.master_error,color:'#db2777'},</t>
  </si>
  <si>
    <t>&lt;div id="tab-production" hidden&gt;</t>
  </si>
  <si>
    <t>{label:'Shrinkage',val:it.shrinkage,color:'#8b5cf6'},</t>
  </si>
  <si>
    <t>&lt;div class="kpi-grid" id="prod-kpi"&gt;</t>
  </si>
  <si>
    <t>{label:'Other',val:it.other_loss,color:'#64748b'}</t>
  </si>
  <si>
    <t>].filter(function(l){return l.val&gt;0;});</t>
  </si>
  <si>
    <t>html+=`&lt;div style="margin-top:20px;padding:16px;background:var(--surface2);border:1px solid var(--border);border-radius:8px;"&gt;</t>
  </si>
  <si>
    <t>&lt;div style="font-weight:600;font-size:12px;color:var(--ink2);margin-bottom:12px;text-transform:uppercase;letter-spacing:0.05em;"&gt;Deficit Diagnostics (${it.total_loss} units)&lt;/div&gt;</t>
  </si>
  <si>
    <t>&lt;div class="card-title"&gt;Production vs Sales — Per Product&lt;/div&gt;</t>
  </si>
  <si>
    <t>&lt;div style="display:flex;height:12px;border-radius:var(--r-pill);overflow:hidden;margin-bottom:12px;"&gt;`;</t>
  </si>
  <si>
    <t>for(var l=0;l&lt;losses.length;l++){</t>
  </si>
  <si>
    <t>&lt;span id="prod-sync"&gt;Auto-refresh 30s&lt;/span&gt;</t>
  </si>
  <si>
    <t>var pct=Math.round(losses[l].val/it.total_loss*100);</t>
  </si>
  <si>
    <t>html+=`&lt;div style="width:${pct}%;background:${losses[l].color};" title="${losses[l].label}: ${losses[l].val}"&gt;&lt;/div&gt;`;</t>
  </si>
  <si>
    <t>html+='&lt;/div&gt;&lt;div style="display:flex;gap:16px;flex-wrap:wrap;font-size:12px;"&gt;';</t>
  </si>
  <si>
    <t>html+=`&lt;span style="display:flex;align-items:center;gap:6px;font-weight:500;"&gt;&lt;span style="width:8px;height:8px;border-radius:50%;background:${losses[l].color};"&gt;&lt;/span&gt;${losses[l].label} (${losses[l].val})&lt;/span&gt;`;</t>
  </si>
  <si>
    <t>html+='&lt;/div&gt;';</t>
  </si>
  <si>
    <t>var otherNote=it.notes||'';</t>
  </si>
  <si>
    <t>var otherMatch=otherNote.match(/Other loss reason:\s*(.+)/);</t>
  </si>
  <si>
    <t>if(it.other_loss&gt;0 &amp;&amp; otherMatch){</t>
  </si>
  <si>
    <t>html+=`&lt;div style="margin-top:12px;padding:10px 12px;background:var(--red-s);border:1px dashed #fca5a5;border-radius:6px;font-size:13px;color:#991b1b;"&gt;</t>
  </si>
  <si>
    <t>&lt;strong&gt;Special Note (Other):&lt;/strong&gt; ${esc(otherMatch[1].replace(/\s*\|.*$/,''))}</t>
  </si>
  <si>
    <t>&lt;select class="mono" id="prod-sort" onchange="prodResetPage()" style="width:160px;font-size:12px;"&gt;</t>
  </si>
  <si>
    <t>&lt;option value="manufactured:desc"&gt;Most made&lt;/option&gt;</t>
  </si>
  <si>
    <t>&lt;option value="sold:desc"&gt;Most sold&lt;/option&gt;</t>
  </si>
  <si>
    <t>&lt;option value="sell_through:desc"&gt;Sell-through ↓&lt;/option&gt;</t>
  </si>
  <si>
    <t>&lt;option value="sell_through:asc"&gt;Sell-through ↑&lt;/option&gt;</t>
  </si>
  <si>
    <t>html+='&lt;/div&gt;&lt;/div&gt;';</t>
  </si>
  <si>
    <t>&lt;option value="in_hand:desc"&gt;In hand ↓&lt;/option&gt;</t>
  </si>
  <si>
    <t>&lt;option value="in_hand:asc"&gt;In hand ↑&lt;/option&gt;</t>
  </si>
  <si>
    <t>if(r.notes) html+=`&lt;div style="font-size:13px;color:var(--ink2);background:var(--amber-l);padding:12px 16px;border-radius:8px;margin-bottom:12px;"&gt;&lt;strong&gt;Ledger Remarks:&lt;/strong&gt; ${esc(r.notes)}&lt;/div&gt;`;</t>
  </si>
  <si>
    <t>if(r.received_at) html+=`&lt;div style="font-size:12px;color:var(--muted);"&gt;Reconciled on ${r.received_at} by &lt;strong&gt;${esc(r.received_by)}&lt;/strong&gt;&lt;/div&gt;`;</t>
  </si>
  <si>
    <t>html+=`&lt;div style="font-size:12px;color:var(--muted);margin-top:4px;"&gt;Initiated by: &lt;strong&gt;${esc(r.created_by)}&lt;/strong&gt;&lt;/div&gt;`;</t>
  </si>
  <si>
    <t>&lt;button class="btn btn-ghost btn-sm" onclick="loadProduction()" title="Refresh"&gt;</t>
  </si>
  <si>
    <t>var modal=document.getElementById('req-detail-modal');</t>
  </si>
  <si>
    <t>if(!modal){</t>
  </si>
  <si>
    <t>modal=document.createElement('div');</t>
  </si>
  <si>
    <t>modal.id='req-detail-modal';</t>
  </si>
  <si>
    <t>&lt;div class="tbl-wrap" id="prod-table"&gt;</t>
  </si>
  <si>
    <t>modal.className = 'fade-in';</t>
  </si>
  <si>
    <t>modal.style.cssText='position:fixed;top:0;left:0;right:0;bottom:0;background:rgba(15,23,42,0.6);backdrop-filter:blur(4px);z-index:1000;overflow-y:auto;padding:24px;';</t>
  </si>
  <si>
    <t>modal.innerHTML=`&lt;div style="max-width:1460px;width:86%;margin:30px auto;background:var(--surface);border-radius:20px;box-shadow:var(--shadow-floating);overflow:hidden;animation:slideUpFade 0.3s ease forwards;"&gt;</t>
  </si>
  <si>
    <t>&lt;div style="padding:16px 24px;background:var(--sb);color:#fff;display:flex;align-items:center;justify-content:space-between;"&gt;</t>
  </si>
  <si>
    <t>&lt;div style="font-weight:600;font-size:22px;"&gt;Manufacturing Report&lt;/div&gt;</t>
  </si>
  <si>
    <t>&lt;button onclick="document.getElementById('req-detail-modal').style.display='none'" style="background:none;border:none;color:#fff;font-size:28px;cursor:pointer;line-height:1;opacity:0.7;"&gt;&amp;times;&lt;/button&gt;&lt;/div&gt;</t>
  </si>
  <si>
    <t>&lt;div id="req-detail-body" style="padding:32px;"&gt;&lt;/div&gt;&lt;/div&gt;`;</t>
  </si>
  <si>
    <t>document.body.appendChild(modal);</t>
  </si>
  <si>
    <t>&lt;div id="tab-requisition" hidden&gt;</t>
  </si>
  <si>
    <t>&lt;!-- KPIs --&gt;</t>
  </si>
  <si>
    <t>document.getElementById('req-detail-body').innerHTML=html;</t>
  </si>
  <si>
    <t>&lt;div class="kpi-grid" id="req-kpi"&gt;&lt;div class="loader"&gt;loading…&lt;/div&gt;&lt;/div&gt;</t>
  </si>
  <si>
    <t>modal.style.display='block';</t>
  </si>
  <si>
    <t>&lt;!-- Sub-tabs --&gt;</t>
  </si>
  <si>
    <t>&lt;div style="display:flex;gap:6px;margin-bottom:16px;flex-wrap:wrap;"&gt;</t>
  </si>
  <si>
    <t>function loadReqInsights(){</t>
  </si>
  <si>
    <t>&lt;button class="btn btn-sm on" id="reqst-issue" onclick="reqSubTab('issue')"&gt;Issue Fabric&lt;/button&gt;</t>
  </si>
  <si>
    <t>document.getElementById('req-insights-body').innerHTML='&lt;div class="loader"&gt;Mining Production Analytics...&lt;/div&gt;';</t>
  </si>
  <si>
    <t>&lt;button class="btn btn-sm" id="reqst-open" onclick="reqSubTab('open')"&gt;Open Requisitions&lt;/button&gt;</t>
  </si>
  <si>
    <t>&lt;button class="btn btn-sm" id="reqst-history" onclick="reqSubTab('history')"&gt;History&lt;/button&gt;</t>
  </si>
  <si>
    <t>.withSuccessHandler(function(stats){renderReqInsights(stats);})</t>
  </si>
  <si>
    <t>&lt;button class="btn btn-sm" id="reqst-insights" onclick="reqSubTab('insights')"&gt;Loss Insights&lt;/button&gt;</t>
  </si>
  <si>
    <t>.withFailureHandler(function(e){document.getElementById('req-insights-body').innerHTML='&lt;div class="empty"&gt;Analytics Error: '+e.message+'&lt;/div&gt;';})</t>
  </si>
  <si>
    <t>function renderReqInsights(s){</t>
  </si>
  <si>
    <t>&lt;div id="req-panel-issue"&gt;</t>
  </si>
  <si>
    <t>if(!s||!s.received_count){document.getElementById('req-insights-body').innerHTML='&lt;div class="empty"&gt;&lt;strong&gt;Insufficient data points for analysis&lt;/strong&gt;&lt;br&gt;Process manufacturing receipts to generate insights.&lt;/div&gt;';return;}</t>
  </si>
  <si>
    <t>var lb=s.loss_breakdown||{};</t>
  </si>
  <si>
    <t>&lt;div class="card-hd"&gt;&lt;div class="card-title"&gt;Issue Fabric for Stitching&lt;/div&gt;&lt;/div&gt;</t>
  </si>
  <si>
    <t>var totalLoss=s.total_loss||1;</t>
  </si>
  <si>
    <t>&lt;div style="padding:16px;display:flex;flex-direction:column;gap:14px;"&gt;</t>
  </si>
  <si>
    <t>&lt;div style="display:grid;grid-template-columns:1fr 1fr;gap:12px;"&gt;</t>
  </si>
  <si>
    <t>{label:'Defective Quality',val:lb.defective||0,color:'#ef4444'},</t>
  </si>
  <si>
    <t>&lt;div class="field"&gt;&lt;label&gt;Master / Tailor Name *&lt;/label&gt;</t>
  </si>
  <si>
    <t>{label:'Fabric Deficit',val:lb.fabric_shortage||0,color:'#f59e0b'},</t>
  </si>
  <si>
    <t>&lt;input type="text" id="rq-master" placeholder="e.g. Raju Bhai"&gt;&lt;/div&gt;</t>
  </si>
  <si>
    <t>{label:'Waste Spillage',val:lb.cutting_waste||0,color:'#f97316'},</t>
  </si>
  <si>
    <t>&lt;div class="field"&gt;&lt;label&gt;Fabric Name *&lt;/label&gt;</t>
  </si>
  <si>
    <t>{label:'Human Error',val:lb.master_error||0,color:'#ec4899'},</t>
  </si>
  <si>
    <t>&lt;input type="text" id="rq-fabric" placeholder="e.g. Cotton Twill Navy"&gt;&lt;/div&gt;</t>
  </si>
  <si>
    <t>{label:'Material Shrink',val:lb.shrinkage||0,color:'#8b5cf6'},</t>
  </si>
  <si>
    <t>{label:'Other Anomalies',val:lb.other_loss||0,color:'#64748b'}</t>
  </si>
  <si>
    <t>&lt;div class="field"&gt;&lt;label&gt;Meters Issued *&lt;/label&gt;</t>
  </si>
  <si>
    <t>var maxR=Math.max.apply(null,reasons.map(function(r){return r.val;}))||1;</t>
  </si>
  <si>
    <t>&lt;input type="number" id="rq-meters" class="mono" min="0.1" step="0.1" placeholder="e.g. 20"&gt;&lt;/div&gt;</t>
  </si>
  <si>
    <t>&lt;div class="field"&gt;&lt;label&gt;Notes (optional)&lt;/label&gt;</t>
  </si>
  <si>
    <t>var barsHtml=`&lt;div style="margin-bottom:40px;"&gt;&lt;div style="font-weight:700;font-size:16px;margin-bottom:24px;color:var(--ink);"&gt;Cumulative Deficit Diagnostics&lt;/div&gt;`;</t>
  </si>
  <si>
    <t>&lt;input type="text" id="rq-notes" placeholder="Any special instructions"&gt;&lt;/div&gt;</t>
  </si>
  <si>
    <t>for(var i=0;i&lt;reasons.length;i++){</t>
  </si>
  <si>
    <t>var r=reasons[i];</t>
  </si>
  <si>
    <t>var pct=totalLoss&gt;0?Math.round(r.val/totalLoss*100):0;</t>
  </si>
  <si>
    <t>&lt;div style="border-top:1px solid var(--border);padding-top:14px;"&gt;</t>
  </si>
  <si>
    <t>barsHtml+=`&lt;div style="display:flex;align-items:center;gap:16px;margin-bottom:12px;"&gt;</t>
  </si>
  <si>
    <t>&lt;div style="display:flex;align-items:center;justify-content:space-between;margin-bottom:10px;"&gt;</t>
  </si>
  <si>
    <t>&lt;span style="width:140px;font-size:13px;font-weight:500;text-align:right;color:var(--ink2);"&gt;${r.label}&lt;/span&gt;</t>
  </si>
  <si>
    <t>&lt;div style="font-weight:600;font-size:14px;"&gt;Style Line Items&lt;/div&gt;</t>
  </si>
  <si>
    <t>&lt;div style="flex:1;height:12px;background:var(--surface2);border-radius:var(--r-pill);overflow:hidden;"&gt;</t>
  </si>
  <si>
    <t>&lt;div style="height:100%;width:${Math.round(r.val/maxR*100)}%;background:${r.color};border-radius:var(--r-pill);transition:width 1s ease-out;"&gt;&lt;/div&gt;</t>
  </si>
  <si>
    <t>&lt;div id="rq-items-list"&gt;&lt;/div&gt;</t>
  </si>
  <si>
    <t>&lt;span class="mono" style="width:80px;font-size:14px;font-weight:700;color:var(--ink);"&gt;${r.val} &lt;span style="opacity:.4;font-size:12px;margin-left:4px;"&gt;${pct}%&lt;/span&gt;&lt;/span&gt;</t>
  </si>
  <si>
    <t>&lt;div style="display:flex;align-items:center;justify-content:space-between;padding-top:8px;border-top:1px solid var(--border);"&gt;</t>
  </si>
  <si>
    <t>barsHtml+='&lt;/div&gt;';</t>
  </si>
  <si>
    <t>&lt;div id="rq-summary" style="font-size:13px;color:var(--muted);"&gt;No items added&lt;/div&gt;</t>
  </si>
  <si>
    <t>var masters=s.master_stats||[];</t>
  </si>
  <si>
    <t>&lt;button class="btn btn-ghost btn-sm" onclick="resetReqForm()"&gt;Clear&lt;/button&gt;</t>
  </si>
  <si>
    <t>var masterHtml='';</t>
  </si>
  <si>
    <t>&lt;button class="btn btn-primary btn-sm" id="rq-submit-btn" onclick="submitReqFn()"&gt;</t>
  </si>
  <si>
    <t>if(masters.length){</t>
  </si>
  <si>
    <t>&lt;svg width="13" height="13" fill="none" stroke="currentColor" viewBox="0 0 24 24"&gt;&lt;polyline points="20 6 9 17 4 12"/&gt;&lt;/svg&gt;Issue Requisition</t>
  </si>
  <si>
    <t>masterHtml=`&lt;div style="font-weight:700;font-size:16px;margin-bottom:16px;color:var(--ink);"&gt;Vendor &amp; Master Reliability Metrics&lt;/div&gt;</t>
  </si>
  <si>
    <t>&lt;table style="border:1px solid var(--border);border-radius:12px;overflow:hidden;box-shadow:var(--shadow-xs);"&gt;</t>
  </si>
  <si>
    <t>&lt;thead style="background:var(--surface2);"&gt;&lt;tr&gt;</t>
  </si>
  <si>
    <t>&lt;th&gt;Partner Identity&lt;/th&gt;</t>
  </si>
  <si>
    <t>&lt;th style="text-align:right;"&gt;Batches Executed&lt;/th&gt;</t>
  </si>
  <si>
    <t>&lt;th style="text-align:right;"&gt;Target Yield&lt;/th&gt;</t>
  </si>
  <si>
    <t>&lt;th style="text-align:right;"&gt;Realized Yield&lt;/th&gt;</t>
  </si>
  <si>
    <t>&lt;th style="text-align:right;"&gt;Failed QA&lt;/th&gt;</t>
  </si>
  <si>
    <t>&lt;th style="width:200px;"&gt;Macro Efficiency Rating&lt;/th&gt;</t>
  </si>
  <si>
    <t>&lt;div id="req-panel-open" style="display:none;"&gt;</t>
  </si>
  <si>
    <t>&lt;/tr&gt;&lt;/thead&gt;&lt;tbody&gt;`;</t>
  </si>
  <si>
    <t>for(var j=0;j&lt;masters.length;j++){</t>
  </si>
  <si>
    <t>&lt;div class="card-title"&gt;Open Requisitions (awaiting goods)&lt;/div&gt;</t>
  </si>
  <si>
    <t>var m=masters[j];</t>
  </si>
  <si>
    <t>&lt;button class="btn btn-ghost btn-sm" onclick="loadReqOpen()"&gt;</t>
  </si>
  <si>
    <t>var effColor=m.efficiency&gt;=90?'var(--green)':m.efficiency&gt;=75?'var(--amber)':'var(--red)';</t>
  </si>
  <si>
    <t>masterHtml+=`&lt;tr&gt;</t>
  </si>
  <si>
    <t>&lt;td style="font-weight:600;color:var(--ink);"&gt;${esc(m.master)}&lt;/td&gt;</t>
  </si>
  <si>
    <t>&lt;td class="mono" style="text-align:right;font-size:14px;font-weight:600;"&gt;${m.batches}&lt;/td&gt;</t>
  </si>
  <si>
    <t>&lt;div id="req-open-list"&gt;&lt;div class="loader"&gt;loading…&lt;/div&gt;&lt;/div&gt;</t>
  </si>
  <si>
    <t>&lt;td class="mono" style="text-align:right;font-size:14px;color:var(--muted);"&gt;${m.est}&lt;/td&gt;</t>
  </si>
  <si>
    <t>&lt;td class="mono" style="text-align:right;font-size:15px;color:var(--green);font-weight:700;"&gt;${m.act}&lt;/td&gt;</t>
  </si>
  <si>
    <t>&lt;td class="mono" style="text-align:right;font-size:14px;color:var(--red);font-weight:600;"&gt;${m.defective}&lt;/td&gt;</t>
  </si>
  <si>
    <t>&lt;td&gt;</t>
  </si>
  <si>
    <t>&lt;div id="req-panel-history" style="display:none;"&gt;</t>
  </si>
  <si>
    <t>&lt;div style="flex:1;height:8px;background:var(--surface2);border-radius:var(--r-pill);overflow:hidden;"&gt;</t>
  </si>
  <si>
    <t>&lt;div style="height:100%;width:${m.efficiency}%;background:${effColor};border-radius:var(--r-pill);"&gt;&lt;/div&gt;</t>
  </si>
  <si>
    <t>&lt;span class="mono" style="font-size:14px;font-weight:700;color:${effColor};width:40px;text-align:right;"&gt;${m.efficiency}%&lt;/span&gt;</t>
  </si>
  <si>
    <t>&lt;div style="display:flex;gap:8px;align-items:center;"&gt;</t>
  </si>
  <si>
    <t>&lt;select id="req-hist-filter" class="mono" style="font-size:12px;" onchange="loadReqHistory()"&gt;</t>
  </si>
  <si>
    <t>&lt;/td&gt;</t>
  </si>
  <si>
    <t>masterHtml+='&lt;/tbody&gt;&lt;/table&gt;';</t>
  </si>
  <si>
    <t>document.getElementById('req-insights-body').innerHTML= `&lt;div style="padding:32px;"&gt;${barsHtml}${masterHtml}&lt;/div&gt;`;</t>
  </si>
  <si>
    <t>&lt;button class="btn btn-ghost btn-sm" onclick="loadReqHistory()"&gt;</t>
  </si>
  <si>
    <t>// DASHBOARD</t>
  </si>
  <si>
    <t>&lt;div class="tbl-wrap" id="req-hist-table"&gt;&lt;div class="loader"&gt;loading…&lt;/div&gt;&lt;/div&gt;</t>
  </si>
  <si>
    <t>function loadDashboard(){</t>
  </si>
  <si>
    <t>google.script.run.withSuccessHandler(renderDash).withFailureHandler(e=&gt;toast('Dashboard Error: '+e.message,'error')).getDashboard();</t>
  </si>
  <si>
    <t>google.script.run.withSuccessHandler(renderDashProducts).withFailureHandler(()=&gt;{}).getProducts();</t>
  </si>
  <si>
    <t>google.script.run.withSuccessHandler(renderRecentOrders).withFailureHandler(()=&gt;{}).getOrders({});</t>
  </si>
  <si>
    <t>&lt;div id="req-panel-insights" style="display:none;"&gt;</t>
  </si>
  <si>
    <t>function renderDash(d){</t>
  </si>
  <si>
    <t>const prods=S.products||[];</t>
  </si>
  <si>
    <t>&lt;div class="card-hd"&gt;&lt;div class="card-title"&gt;Loss Analysis &amp; Master Performance&lt;/div&gt;&lt;/div&gt;</t>
  </si>
  <si>
    <t>const healthPct=prods.length?Math.round((prods.filter(p=&gt;p.in_hand&gt;3).length/prods.length)*100):0;</t>
  </si>
  <si>
    <t>&lt;div id="req-insights-body"&gt;&lt;div class="loader"&gt;loading…&lt;/div&gt;&lt;/div&gt;</t>
  </si>
  <si>
    <t>document.getElementById('kpi-grid').innerHTML=`</t>
  </si>
  <si>
    <t>&lt;div class="kpi blue"&gt;&lt;div class="kpi-label"&gt;Today's Order Velocity&lt;/div&gt;&lt;div class="kpi-value"&gt;${d.today_orders}&lt;/div&gt;&lt;div class="kpi-sub"&gt;&lt;span style="color:var(--blue);font-weight:700;"&gt;${d.today_units}&lt;/span&gt; units committed&lt;/div&gt;&lt;/div&gt;</t>
  </si>
  <si>
    <t>&lt;div class="kpi green"&gt;&lt;div class="kpi-label"&gt;Total Liquid Assets&lt;/div&gt;&lt;div class="kpi-value"&gt;${(d.total_in_hand||0).toLocaleString()}&lt;/div&gt;&lt;div class="kpi-sub"&gt;Across ${d.total_products} tracked SKUs&lt;/div&gt;&lt;/div&gt;</t>
  </si>
  <si>
    <t>&lt;div class="kpi ${d.low_stock_count&gt;0?'amber':'green'}"&gt;&lt;div class="kpi-label"&gt;Restock Warnings&lt;/div&gt;&lt;div class="kpi-value ${d.low_stock_count&gt;0?'amber':'green'}"&gt;${d.low_stock_count}&lt;/div&gt;&lt;div class="kpi-sub"&gt;SKUs near exhaustion limit&lt;/div&gt;&lt;/div&gt;</t>
  </si>
  <si>
    <t>&lt;div id="req-recv-modal" style="display:none;position:fixed;top:0;left:0;right:0;bottom:0;background:rgba(0,0,0,.5);z-index:1000;overflow-y:auto;padding:24px;"&gt;</t>
  </si>
  <si>
    <t>&lt;div class="kpi blue"&gt;&lt;div class="kpi-label"&gt;Ecosystem Health&lt;/div&gt;&lt;div class="kpi-value"&gt;${healthPct}%&lt;/div&gt;&lt;div class="kpi-sub"&gt;Catalog adequately positioned&lt;/div&gt;&lt;/div&gt;`;</t>
  </si>
  <si>
    <t>&lt;div style="max-width:700px;margin:30px auto;background:var(--surface);border-radius:12px;box-shadow:var(--shadow-md);overflow:hidden;"&gt;</t>
  </si>
  <si>
    <t>const chs=Object.entries(d.channel_breakdown||{});</t>
  </si>
  <si>
    <t>&lt;div&gt;&lt;div style="font-weight:600;font-size:15px;"&gt;Receive Goods&lt;/div&gt;&lt;div class="mono" style="font-size:12px;opacity:.7;" id="recv-title"&gt;&lt;/div&gt;&lt;/div&gt;</t>
  </si>
  <si>
    <t>const maxV=Math.max(...chs.map(([,v])=&gt;v),1);</t>
  </si>
  <si>
    <t>&lt;button onclick="closeRecvModal()" style="background:none;border:none;color:#fff;font-size:22px;cursor:pointer;line-height:1;"&gt;×&lt;/button&gt;</t>
  </si>
  <si>
    <t>const chColors={'Shopify':'#10b981','Flipkart':'#2563eb','Amazon':'#f59e0b','Meesho':'#8b5cf6','Direct':'#ef4444'};</t>
  </si>
  <si>
    <t>&lt;div id="recv-body" style="padding:20px;max-height:65vh;overflow-y:auto;"&gt;&lt;/div&gt;</t>
  </si>
  <si>
    <t>document.getElementById('dash-channels').innerHTML=chs.length?chs.map(([c,v])=&gt;`</t>
  </si>
  <si>
    <t>&lt;div style="padding:12px 20px;border-top:1px solid var(--border);display:flex;justify-content:space-between;align-items:center;background:var(--surface2);"&gt;</t>
  </si>
  <si>
    <t>&lt;div style="display:flex;align-items:center;gap:16px;margin-bottom:16px;"&gt;</t>
  </si>
  <si>
    <t>&lt;div id="recv-summary" style="font-size:13px;color:var(--muted);"&gt;&lt;/div&gt;</t>
  </si>
  <si>
    <t>&lt;span style="font-size:13px;font-weight:600;color:var(--ink2);width:80px;flex-shrink:0;"&gt;${c}&lt;/span&gt;</t>
  </si>
  <si>
    <t>&lt;div style="flex:1;height:10px;background:var(--surface2);border-radius:var(--r-pill);overflow:hidden;"&gt;</t>
  </si>
  <si>
    <t>&lt;button class="btn btn-ghost btn-sm" onclick="closeRecvModal()"&gt;Cancel&lt;/button&gt;</t>
  </si>
  <si>
    <t>&lt;div style="height:100%;border-radius:var(--r-pill);width:${Math.round(v/maxV*100)}%;background:${chColors[c]||'#64748b'};transition:width 1s cubic-bezier(0.16, 1, 0.3, 1);"&gt;&lt;/div&gt;</t>
  </si>
  <si>
    <t>&lt;button class="btn btn-primary btn-sm" id="recv-submit-btn" onclick="submitReceiveFn()" disabled&gt;</t>
  </si>
  <si>
    <t>&lt;svg width="13" height="13" fill="none" stroke="currentColor" viewBox="0 0 24 24"&gt;&lt;polyline points="20 6 9 17 4 12"/&gt;&lt;/svg&gt;Receive &amp; Add to Stock</t>
  </si>
  <si>
    <t>&lt;span class="mono" style="font-size:14px;font-weight:700;width:40px;text-align:right;"&gt;${v}&lt;/span&gt;</t>
  </si>
  <si>
    <t>&lt;/div&gt;`).join('') : '&lt;div class="empty"&gt;No order volume detected today.&lt;/div&gt;';</t>
  </si>
  <si>
    <t>const ok=prods.filter(p=&gt;p.in_hand&gt;3).length||Math.max(0,d.total_products-d.low_stock_count-(prods.filter(p=&gt;p.in_hand===0).length||0));</t>
  </si>
  <si>
    <t>const warn=prods.filter(p=&gt;p.in_hand&gt;0&amp;&amp;p.in_hand&lt;=3).length||d.low_stock_count;</t>
  </si>
  <si>
    <t>const zero=prods.filter(p=&gt;p.in_hand===0).length;</t>
  </si>
  <si>
    <t>const total=d.total_products||1;</t>
  </si>
  <si>
    <t>const r=38,circ=2*Math.PI*r;</t>
  </si>
  <si>
    <t>const okD=(ok/total)*circ,warnD=(warn/total)*circ,zeroD=(zero/total)*circ;</t>
  </si>
  <si>
    <t>document.getElementById('dash-health').innerHTML=`</t>
  </si>
  <si>
    <t>&lt;div style="display:flex;align-items:center;gap:32px;"&gt;</t>
  </si>
  <si>
    <t>&lt;svg viewBox="0 0 96 96" width="110" height="110" style="flex-shrink:0;filter:drop-shadow(0 4px 6px rgba(0,0,0,0.05));"&gt;</t>
  </si>
  <si>
    <t>&lt;circle cx="48" cy="48" r="${r}" fill="none" stroke="var(--surface2)" stroke-width="12"/&gt;</t>
  </si>
  <si>
    <t>&lt;circle cx="48" cy="48" r="${r}" fill="none" stroke="var(--green)" stroke-width="12" stroke-dasharray="${okD} ${circ}" stroke-dashoffset="${circ*0.25}" stroke-linecap="round"/&gt;</t>
  </si>
  <si>
    <t>&lt;circle cx="48" cy="48" r="${r}" fill="none" stroke="var(--amber)" stroke-width="12" stroke-dasharray="${warnD} ${circ}" stroke-dashoffset="${circ*0.25-okD}" stroke-linecap="round"/&gt;</t>
  </si>
  <si>
    <t>&lt;circle cx="48" cy="48" r="${r}" fill="none" stroke="var(--red)" stroke-width="12" stroke-dasharray="${zeroD} ${circ}" stroke-dashoffset="${circ*0.25-okD-warnD}" stroke-linecap="round"/&gt;</t>
  </si>
  <si>
    <t>&lt;text x="48" y="44" text-anchor="middle" font-size="18" font-weight="700" fill="var(--ink)" font-family="Outfit,sans-serif"&gt;${Math.round(((total-warn-zero)/total)*100)}%&lt;/text&gt;</t>
  </si>
  <si>
    <t>&lt;text x="48" y="58" text-anchor="middle" font-size="9" fill="var(--muted)" font-weight="600" letter-spacing="0.1em" font-family="Inter,sans-serif"&gt;OPTIMAL&lt;/text&gt;</t>
  </si>
  <si>
    <t>&lt;div style="flex:1;"&gt;</t>
  </si>
  <si>
    <t>&lt;div style="display:flex;justify-content:space-between;align-items:center;padding:8px 0;border-bottom:1px solid var(--border);"&gt;</t>
  </si>
  <si>
    <t>&lt;div style="font-size:13px;font-weight:500;"&gt;&lt;span style="display:inline-block;width:10px;height:10px;border-radius:50%;background:var(--green);margin-right:8px;"&gt;&lt;/span&gt;Secure (&amp;gt;3)&lt;/div&gt;</t>
  </si>
  <si>
    <t>&lt;div class="mono" style="font-weight:700;font-size:15px;"&gt;${total-warn-zero}&lt;/div&gt;</t>
  </si>
  <si>
    <t>&lt;div style="font-size:13px;font-weight:500;"&gt;&lt;span style="display:inline-block;width:10px;height:10px;border-radius:50%;background:var(--amber);margin-right:8px;"&gt;&lt;/span&gt;Caution (1–3)&lt;/div&gt;</t>
  </si>
  <si>
    <t>&lt;div class="mono" style="font-weight:700;font-size:15px;color:var(--amber);"&gt;${warn}&lt;/div&gt;</t>
  </si>
  <si>
    <t>&lt;div style="display:flex;justify-content:space-between;align-items:center;padding:8px 0;"&gt;</t>
  </si>
  <si>
    <t>&lt;div style="font-size:13px;font-weight:500;"&gt;&lt;span style="display:inline-block;width:10px;height:10px;border-radius:50%;background:var(--red);margin-right:8px;"&gt;&lt;/span&gt;Depleted (0)&lt;/div&gt;</t>
  </si>
  <si>
    <t>&lt;div class="mono" style="font-weight:700;font-size:15px;color:var(--red);"&gt;${zero}&lt;/div&gt;</t>
  </si>
  <si>
    <t>production': {title:'Production Report',sub:'Made vs sold per product · live'},</t>
  </si>
  <si>
    <t>requisition':{title:'Requisition',sub:'Fabric issue · stitching · receive goods'}</t>
  </si>
  <si>
    <t>function renderDashProducts(prods){</t>
  </si>
  <si>
    <t>S.products=prods||[];S.productMap={};prods.forEach(p=&gt;S.productMap[p.style_no]=p);refreshDL();</t>
  </si>
  <si>
    <t>const low=prods.filter(p=&gt;p.in_hand&gt;0&amp;&amp;p.in_hand&lt;=3);</t>
  </si>
  <si>
    <t>const zero=prods.filter(p=&gt;p.in_hand===0);</t>
  </si>
  <si>
    <t>const list=[...low,...zero];</t>
  </si>
  <si>
    <t>const badge=document.getElementById('low-count-badge');</t>
  </si>
  <si>
    <t>if(badge){badge.textContent=list.length+' Alerts';badge.style.display=list.length?'':'none';}</t>
  </si>
  <si>
    <t>el.className='toast '+type; el.textContent=msg;</t>
  </si>
  <si>
    <t>if(!list.length){document.getElementById('dash-low').innerHTML='&lt;div class="empty"&gt;System optimal. No supply chain alerts.&lt;/div&gt;';return;}</t>
  </si>
  <si>
    <t>setTimeout(()=&gt;{el.style.opacity='0';el.style.transition='opacity .3s';},3500);</t>
  </si>
  <si>
    <t>document.getElementById('dash-low').innerHTML=`&lt;table style="margin:0;"&gt;</t>
  </si>
  <si>
    <t>&lt;thead style="background:var(--surface2);"&gt;&lt;tr&gt;&lt;th&gt;SKU&lt;/th&gt;&lt;th&gt;Product Identity&lt;/th&gt;&lt;th style="text-align:right;"&gt;Count&lt;/th&gt;&lt;th&gt;Action&lt;/th&gt;&lt;/tr&gt;&lt;/thead&gt;</t>
  </si>
  <si>
    <t>&lt;tbody&gt;${list.slice(0,8).map(p=&gt;`&lt;tr&gt;</t>
  </si>
  <si>
    <t>&lt;td class="mono" style="color:var(--blue);font-weight:600;font-size:13px;"&gt;${esc(p.style_no)}&lt;/td&gt;</t>
  </si>
  <si>
    <t>&lt;td style="font-size:13px;font-weight:500;"&gt;${esc(p.product_name)}&lt;/td&gt;</t>
  </si>
  <si>
    <t>&lt;td class="mono" style="text-align:right;font-weight:700;font-size:15px;color:${p.in_hand===0?'var(--muted)':'var(--red)'};"&gt;${p.in_hand}&lt;/td&gt;</t>
  </si>
  <si>
    <t>&lt;td style="width:100px;text-align:right;"&gt;&lt;button class="btn btn-secondary btn-sm" onclick="quickRestock('${p.style_no}')" style="box-shadow:none;"&gt;Restock&lt;/button&gt;&lt;/td&gt;</t>
  </si>
  <si>
    <t>&lt;/tr&gt;`).join('')}&lt;/tbody&gt;&lt;/table&gt;</t>
  </si>
  <si>
    <t>${list.length&gt;8?`&lt;div style="padding:12px 16px;font-size:12px;color:var(--blue);font-weight:600;text-align:center;cursor:pointer;background:var(--surface2);" onclick="switchTab('inventory')"&gt;View ${list.length-8} more in Inventory &amp;rarr;&lt;/div&gt;`:''}`;</t>
  </si>
  <si>
    <t>function renderRecentOrders(orders){</t>
  </si>
  <si>
    <t>const recent=(orders||[]).slice(0,8);</t>
  </si>
  <si>
    <t>// Compress before upload — max 800px on the longest side, JPEG q 0.85.</t>
  </si>
  <si>
    <t>if(!recent.length){document.getElementById('dash-recent').innerHTML='&lt;div class="empty"&gt;No recent order velocity detected.&lt;/div&gt;';return;}</t>
  </si>
  <si>
    <t>document.getElementById('dash-recent').innerHTML=`&lt;table style="margin:0;"&gt;</t>
  </si>
  <si>
    <t>&lt;thead style="background:var(--surface2);"&gt;&lt;tr&gt;&lt;th style="width:140px;"&gt;Order ID&lt;/th&gt;&lt;th&gt;Customer&lt;/th&gt;&lt;th style="text-align:right;width:60px;"&gt;Qty&lt;/th&gt;&lt;th style="width:100px;"&gt;Status&lt;/th&gt;&lt;/tr&gt;&lt;/thead&gt;</t>
  </si>
  <si>
    <t>&lt;tbody&gt;${recent.map(o=&gt;`&lt;tr&gt;</t>
  </si>
  <si>
    <t>&lt;td class="mono" style="color:var(--ink);font-size:12px;font-weight:600;"&gt;${o.order_id.replace(/^ORD-\d{8}-/,'…')}&lt;/td&gt;</t>
  </si>
  <si>
    <t>&lt;td&gt;&lt;div style="font-weight:600;font-size:13px;"&gt;${esc(o.buyer_name)}&lt;/div&gt;&lt;div style="font-size:11px;color:var(--muted);margin-top:2px;font-weight:500;"&gt;via ${esc(o.channel)}&lt;/div&gt;&lt;/td&gt;</t>
  </si>
  <si>
    <t>&lt;td class="mono" style="text-align:right;font-weight:700;font-size:14px;"&gt;${o.total_quantity}&lt;/td&gt;</t>
  </si>
  <si>
    <t>&lt;td&gt;&lt;span class="badge b-${o.status}"&gt;${o.status}&lt;/span&gt;&lt;/td&gt;</t>
  </si>
  <si>
    <t>&lt;/script&gt;</t>
  </si>
  <si>
    <t>&lt;/body&gt;</t>
  </si>
  <si>
    <t>&lt;/html&gt;</t>
  </si>
  <si>
    <t>// Open file picker → compress → upload → refresh.</t>
  </si>
  <si>
    <t>toast('✓ Image saved','success');</t>
  </si>
  <si>
    <t>function toggleSidebar(){document.getElementById('sidebar').classList.toggle('open');document.getElementById('sb-overlay').classList.toggle('show');}</t>
  </si>
  <si>
    <t>function closeSidebar(){document.getElementById('sidebar').classList.remove('open');document.getElementById('sb-overlay').classList.remove('show');}</t>
  </si>
  <si>
    <t>document.querySelectorAll('[id^="tab-"]').forEach(s=&gt;s.hidden=s.id!=='tab-'+name);</t>
  </si>
  <si>
    <t>closeSidebar();</t>
  </si>
  <si>
    <t>// Always scroll content area back to top on tab switch</t>
  </si>
  <si>
    <t>// Populate order filters</t>
  </si>
  <si>
    <t>.withFailureHandler(e=&gt;toast('Products: '+e.message,'error'))</t>
  </si>
  <si>
    <t>if(dl) dl.innerHTML=S.products.map(p=&gt;`&lt;option value="${p.style_no}"&gt;${p.product_name} · in hand: ${p.in_hand}&lt;/option&gt;`).join('');</t>
  </si>
  <si>
    <t>let cls='',txt='Choose size';</t>
  </si>
  <si>
    <t>if(av!==null){txt=`Avail: &lt;strong&gt;${av}&lt;/strong&gt;`;cls=av===0?'zero':av&lt;=3?'low':'';}</t>
  </si>
  <si>
    <t>? `&lt;img src="${imgUrl(p.image_id,80)}" style="width:32px;height:32px;border-radius:4px;object-fit:cover;margin-right:6px;vertical-align:middle;flex-shrink:0;" onerror="this.style.display='none';"&gt;`</t>
  </si>
  <si>
    <t>&lt;input class="mono" list="products-list" value="${esc(it.style_no)}" placeholder="VH-EP10_"</t>
  </si>
  <si>
    <t>${p?`&lt;span style="font-size:11px;color:var(--muted);margin-top:2px;display:flex;align-items:center;"&gt;${thumb}${esc(p.product_name)}&lt;/span&gt;`:''}</t>
  </si>
  <si>
    <t>${S.config.sizes.map(s=&gt;`&lt;option value="${s}" ${s===it.size?'selected':''}&gt;${s}&lt;/option&gt;`).join('')}</t>
  </si>
  <si>
    <t>&lt;button class="rm-btn" onclick="removeLineItem('${it.id}')"&gt;×&lt;/button&gt;</t>
  </si>
  <si>
    <t>document.getElementById('order-summary').innerHTML=v.length?`&lt;strong&gt;${v.length}&lt;/strong&gt; item${v.length&gt;1?'s':''} · &lt;strong&gt;${q}&lt;/strong&gt; unit${q&gt;1?'s':''}`:' No items added';</t>
  </si>
  <si>
    <t>if(!bn)return toast('Buyer name required','error');</t>
  </si>
  <si>
    <t>if(!bc)return toast('Buyer contact required','error');</t>
  </si>
  <si>
    <t>if(!items.length)return toast('Add at least one item','error');</t>
  </si>
  <si>
    <t>for(const it of items){const p=S.productMap[it.style_no];if(!p)return toast('Unknown: '+it.style_no,'error');if((p.sizes[it.size]??0)&lt;it.quantity)return toast(`Low stock: ${it.style_no} ${it.size}`,'error');}</t>
  </si>
  <si>
    <t>const btn=document.getElementById('submit-btn');btn.disabled=true;btn.textContent='Submitting…';</t>
  </si>
  <si>
    <t>.withSuccessHandler(r=&gt;{btn.disabled=false;btn.innerHTML='&lt;svg width="14" height="14" fill="none" stroke="currentColor" viewBox="0 0 24 24"&gt;&lt;polyline points="20 6 9 17 4 12"/&gt;&lt;/svg&gt;Submit Order';</t>
  </si>
  <si>
    <t>if(r.success){toast(`✓ Order ${r.order_id} · ${r.total_quantity} units`,'success');resetOrderForm();loadProds();}</t>
  </si>
  <si>
    <t>else{toast(r.error||'Failed','error');loadProds();}})</t>
  </si>
  <si>
    <t>.withFailureHandler(e=&gt;{btn.disabled=false;btn.innerHTML='Submit Order';toast('Error: '+e.message,'error');})</t>
  </si>
  <si>
    <t>// ORDERS LIST (unified table with filters + pagination)</t>
  </si>
  <si>
    <t>let _odt;function debOrders(){clearTimeout(_odt);_odt=setTimeout(function(){S.ord.page=1;filterOrders();},280);}</t>
  </si>
  <si>
    <t>document.getElementById('orders-table').innerHTML='&lt;div class="loader"&gt;loading…&lt;/div&gt;';</t>
  </si>
  <si>
    <t>.withFailureHandler(function(e){document.getElementById('orders-table').innerHTML='&lt;div class="empty"&gt;Error: '+e.message+'&lt;/div&gt;';})</t>
  </si>
  <si>
    <t>||(o.channel||'').toLowerCase().indexOf(q)&gt;=0</t>
  </si>
  <si>
    <t>// Sort</t>
  </si>
  <si>
    <t>// Clamp page</t>
  </si>
  <si>
    <t>function ordChPageSize(){S.ord.ps=parseInt(document.getElementById('of-ps').value)||15;S.ord.page=1;renderOrdersTable();}</t>
  </si>
  <si>
    <t>// Summary</t>
  </si>
  <si>
    <t>if(summary) summary.textContent=total+' order'+(total===1?'':'s')+' · '+totalUnits+' unit'+(totalUnits===1?'':'s');</t>
  </si>
  <si>
    <t>document.getElementById('orders-table').innerHTML='&lt;div class="empty" style="padding:30px;"&gt;&lt;strong&gt;No orders found&lt;/strong&gt;&lt;br&gt;Try adjusting your filters.&lt;/div&gt;';</t>
  </si>
  <si>
    <t>var chColors={'Shopify':'#16a34a','Flipkart':'#1d4ed8','Amazon':'#f59e0b','Meesho':'#9333ea','Direct':'#ef4444'};</t>
  </si>
  <si>
    <t>var arrow=function(col){</t>
  </si>
  <si>
    <t>if(S.ord.sortCol!==col) return '';</t>
  </si>
  <si>
    <t>return S.ord.sortDir==='asc'?' ↑':' ↓';</t>
  </si>
  <si>
    <t>var chColor=chColors[o.channel]||'#6b7280';</t>
  </si>
  <si>
    <t>html+='&lt;tr style="cursor:pointer;" onclick="showOrdDetail(\''+o.order_id+'\')"&gt;'</t>
  </si>
  <si>
    <t>// Pagination</t>
  </si>
  <si>
    <t>pe.innerHTML='&lt;span class="pag-info"&gt;Showing &lt;strong&gt;'+(start+1)+'–'+end+'&lt;/strong&gt; of &lt;strong&gt;'+total+'&lt;/strong&gt; &amp;nbsp;·&amp;nbsp; Page '+page+'/'+pages+'&lt;/span&gt;'</t>
  </si>
  <si>
    <t>// Order detail modal</t>
  </si>
  <si>
    <t>var html='&lt;div style="display:flex;justify-content:space-between;align-items:flex-start;margin-bottom:16px;"&gt;'</t>
  </si>
  <si>
    <t>html+='&lt;div style="display:grid;grid-template-columns:1fr 1fr;gap:10px;margin-bottom:16px;"&gt;'</t>
  </si>
  <si>
    <t>html+='&lt;div style="font-weight:600;font-size:13px;margin-bottom:8px;"&gt;Items&lt;/div&gt;';</t>
  </si>
  <si>
    <t>html+='&lt;table style="margin-bottom:14px;"&gt;&lt;thead&gt;&lt;tr&gt;&lt;th&gt;Style No.&lt;/th&gt;&lt;th&gt;Product&lt;/th&gt;&lt;th&gt;Size&lt;/th&gt;&lt;th style="text-align:right;"&gt;Qty&lt;/th&gt;&lt;/tr&gt;&lt;/thead&gt;&lt;tbody&gt;';</t>
  </si>
  <si>
    <t>for(var i=0;i&lt;o.items.length;i++){</t>
  </si>
  <si>
    <t>var it=o.items[i];</t>
  </si>
  <si>
    <t>html+='&lt;tr&gt;'</t>
  </si>
  <si>
    <t>html+='&lt;div style="font-size:11px;color:var(--muted);border-top:1px solid var(--border);padding-top:10px;"&gt;'</t>
  </si>
  <si>
    <t>html+='&lt;div style="margin-top:12px;display:flex;gap:8px;"&gt;'</t>
  </si>
  <si>
    <t>if(!confirm('Cancel order '+id+'?\nThis restores stock for all items.'))return;</t>
  </si>
  <si>
    <t>.withSuccessHandler(function(r){if(r.success){toast('Cancelled · '+r.items_restored+' item(s) restored','success');loadOrders();}else toast(r.error||'Failed','error');})</t>
  </si>
  <si>
    <t>.withFailureHandler(function(e){toast('Error: '+e.message,'error');})</t>
  </si>
  <si>
    <t>// opts.keepPage = true → preserve current page (auto-refresh case)</t>
  </si>
  <si>
    <t>.withFailureHandler(e=&gt;{document.getElementById('inv-table').innerHTML=`&lt;div class="empty"&gt;Error: ${e.message}&lt;/div&gt;`;})</t>
  </si>
  <si>
    <t>// opts.keepPage = true → don't snap back to page 1.</t>
  </si>
  <si>
    <t>// Used by the 10-second auto-refresh and image-upload callbacks so the</t>
  </si>
  <si>
    <t>// user's current page isn't reset under their feet.</t>
  </si>
  <si>
    <t>// Without the flag (user actions: search, sort, manual refresh) → reset to page 1.</t>
  </si>
  <si>
    <t>// apply sort</t>
  </si>
  <si>
    <t>if(!keepPage){</t>
  </si>
  <si>
    <t>S.inv.page=1;</t>
  </si>
  <si>
    <t>// Clamp current page if filter shrank the list (e.g., a product was deleted server-side)</t>
  </si>
  <si>
    <t>function sortBy(col){</t>
  </si>
  <si>
    <t>if(S.inv.sortCol===col)S.inv.sortDir=S.inv.sortDir==='asc'?'desc':'asc';</t>
  </si>
  <si>
    <t>else{S.inv.sortCol=col;S.inv.sortDir='asc';}</t>
  </si>
  <si>
    <t>filterInv();</t>
  </si>
  <si>
    <t>function chPageSize(){S.inv.ps=parseInt(document.getElementById('inv-ps').value)||20;S.inv.page=1;renderInvPage();}</t>
  </si>
  <si>
    <t>const{filtered,page,ps,sortCol,sortDir}=S.inv;</t>
  </si>
  <si>
    <t>if(ce) ce.textContent=q?`${total} of ${S.products.length}`:total+' products';</t>
  </si>
  <si>
    <t>document.getElementById('inv-table').innerHTML=`&lt;div class="empty"&gt;&lt;strong&gt;No products${q?' matching "'+esc(q)+'"':''}&lt;/strong&gt;${q?'Try a different search.':'Add products to Sheet1.'}&lt;/div&gt;`;</t>
  </si>
  <si>
    <t>// Avatar: initials from product name, color from index</t>
  </si>
  <si>
    <t>const palettes=[</t>
  </si>
  <si>
    <t>{bg:'#dbeafe',fg:'#1d4ed8'},{bg:'#dcfce7',fg:'#166534'},</t>
  </si>
  <si>
    <t>{bg:'#fef3c7',fg:'#b45309'},{bg:'#ede9fe',fg:'#5b21b6'},</t>
  </si>
  <si>
    <t>{bg:'#ffedd5',fg:'#c2410c'},{bg:'#fce7f3',fg:'#9d174d'},</t>
  </si>
  <si>
    <t>{bg:'#cffafe',fg:'#0e7490'},{bg:'#f0fdf4',fg:'#15803d'}</t>
  </si>
  <si>
    <t>// Hero image area — large product photo at top of tile.</t>
  </si>
  <si>
    <t>// For products without an image, show a colored placeholder with initials.</t>
  </si>
  <si>
    <t>var heroHTML;</t>
  </si>
  <si>
    <t>if (p.image_id) {</t>
  </si>
  <si>
    <t>heroHTML = '&lt;div class="inv-tile-hero"&gt;'</t>
  </si>
  <si>
    <t>if(v===0){bg='#f3f4f6';fg='#9ca3af';}</t>
  </si>
  <si>
    <t>else if(v&lt;=1){bg='#fee2e2';fg='#991b1b';}</t>
  </si>
  <si>
    <t>else if(v&lt;=3){bg='#ffedd5';fg='#c2410c';}</t>
  </si>
  <si>
    <t>else{bg='#dcfce7';fg='#166534';}</t>
  </si>
  <si>
    <t>return `&lt;div class="inv-sz-cell" style="background:${bg};"&gt;</t>
  </si>
  <si>
    <t>&lt;span class="szl" style="color:${fg};"&gt;${s}&lt;/span&gt;</t>
  </si>
  <si>
    <t>&lt;span class="szv" style="color:${fg};"&gt;${v}&lt;/span&gt;</t>
  </si>
  <si>
    <t>const imgBtnLabel = p.image_id ? 'Replace Image' : 'Add Image';</t>
  </si>
  <si>
    <t>const removeBtn = p.image_id ? '&lt;button class="btn btn-danger-soft btn-sm" style="width:100%;margin-top:6px;" onclick="event.stopPropagation();removeProductImageFn(\'' + p.style_no + '\')"&gt;Remove Image&lt;/button&gt;' : '';</t>
  </si>
  <si>
    <t>&lt;div class="inv-tile-unit"&gt;in hand&lt;/div&gt;</t>
  </si>
  <si>
    <t>&lt;span class="inv-tile-chev" id="ichev-${p.style_no}"&gt;›&lt;/span&gt;</t>
  </si>
  <si>
    <t>&lt;div class="inv-tile-detail" id="idet-${p.style_no}" style="display:none;"&gt;</t>
  </si>
  <si>
    <t>&lt;button class="btn btn-secondary btn-sm" style="width:100%;margin-top:2px;" onclick="event.stopPropagation();quickRestock('${p.style_no}')"&gt;</t>
  </si>
  <si>
    <t>&lt;svg width="12" height="12" fill="none" stroke="currentColor" viewBox="0 0 24 24"&gt;&lt;path d="M12 20h9"/&gt;&lt;path d="M16.5 3.5a2.121 2.121 0 0 1 3 3L7 19l-4 1 1-4L16.5 3.5z"/&gt;&lt;/svg&gt;Update Stock</t>
  </si>
  <si>
    <t>&lt;button class="btn btn-secondary btn-sm" style="width:100%;margin-top:6px;" onclick="event.stopPropagation();pickAndUploadImage('${p.style_no}')"&gt;</t>
  </si>
  <si>
    <t>&lt;svg width="12" height="12" fill="none" stroke="currentColor" viewBox="0 0 24 24"&gt;&lt;rect x="3" y="3" width="18" height="18" rx="2"/&gt;&lt;circle cx="9" cy="9" r="2"/&gt;&lt;path d="m21 15-3.086-3.086a2 2 0 0 0-2.828 0L6 21"/&gt;&lt;/svg&gt;${imgBtnLabel}</t>
  </si>
  <si>
    <t>pe.innerHTML=`&lt;span class="pag-info"&gt;Showing &lt;strong&gt;${start+1}–${end}&lt;/strong&gt; of &lt;strong&gt;${total}&lt;/strong&gt; &amp;nbsp;·&amp;nbsp; Page ${page}/${pages}&lt;/span&gt;</t>
  </si>
  <si>
    <t>&lt;button class="pb" onclick="goPage(${page-1})" ${page&lt;=1?'disabled':''}&gt;← Prev&lt;/button&gt;</t>
  </si>
  <si>
    <t>${nums.map(n=&gt;n==='…'?`&lt;span style="padding:0 4px;color:var(--muted);"&gt;…&lt;/span&gt;`:`&lt;button class="pb${n===page?' on':''}" onclick="goPage(${n})"&gt;${n}&lt;/button&gt;`).join('')}</t>
  </si>
  <si>
    <t>&lt;button class="pb" onclick="goPage(${page+1})" ${page&gt;=pages?'disabled':''}&gt;Next →&lt;/button&gt;</t>
  </si>
  <si>
    <t>function toggleInvRow(){}  // kept for safety, unused</t>
  </si>
  <si>
    <t>if(!raw){toast('Enter a style number','error');return;}</t>
  </si>
  <si>
    <t>if(!S.products.length){toast('Products loading, try again','error');return;}</t>
  </si>
  <si>
    <t>if(!f){toast('Product not found','error');return;}</t>
  </si>
  <si>
    <t>// Scroll so the product banner is visible</t>
  </si>
  <si>
    <t>setTimeout(()=&gt;{</t>
  </si>
  <si>
    <t>const banner=document.getElementById('us-banner');</t>
  </si>
  <si>
    <t>if(banner) banner.scrollIntoView({behavior:'smooth',block:'start'});</t>
  </si>
  <si>
    <t>},80);</t>
  </si>
  <si>
    <t>const imgHTML = p.image_id ? '&lt;div style="width:64px;height:64px;border-radius:8px;overflow:hidden;background:#f4f4f0;flex-shrink:0;margin-right:14px;"&gt;&lt;img src="' + imgUrl(p.image_id,200) + '" style="width:100%;height:100%;object-fit:cover;display:block;" onerror="this.style.display=\'none\';"&gt;&lt;/div&gt;' : '';</t>
  </si>
  <si>
    <t>&lt;div class="pb-ih"&gt;&lt;div class="pb-ih-label"&gt;In Hand&lt;/div&gt;&lt;div class="pb-ih-val"&gt;${p.in_hand}&lt;/div&gt;&lt;/div&gt;</t>
  </si>
  <si>
    <t>&lt;button class="btn btn-secondary btn-sm" style="margin-left:12px;" onclick="pickAndUploadImage('${p.style_no}')"&gt;</t>
  </si>
  <si>
    <t>&lt;svg width="12" height="12" fill="none" stroke="currentColor" viewBox="0 0 24 24"&gt;&lt;rect x="3" y="3" width="18" height="18" rx="2"/&gt;&lt;circle cx="9" cy="9" r="2"/&gt;&lt;path d="m21 15-3.086-3.086a2 2 0 0 0-2.828 0L6 21"/&gt;&lt;/svg&gt;${p.image_id?'Replace':'Add'} Image</t>
  </si>
  <si>
    <t>&lt;/button&gt;`;</t>
  </si>
  <si>
    <t>document.getElementById('m-hint').textContent=m==='add'?'Enter units to add (negative to deduct)':'Enter new total for each size';</t>
  </si>
  <si>
    <t>const cc=cur===0?'z':cur&lt;=3?'lo':'';</t>
  </si>
  <si>
    <t>&lt;td style="font-family:'JetBrains Mono',monospace;font-weight:700;font-size:15px;"&gt;${sz}&lt;/td&gt;</t>
  </si>
  <si>
    <t>&lt;td class="sg-cur ${cc}"&gt;${cur}&lt;/td&gt;</t>
  </si>
  <si>
    <t>&lt;td&gt;&lt;input type="number" style="max-width:130px;" placeholder="${S.us.mode==='set'?'new total':'add qty'}"</t>
  </si>
  <si>
    <t>value="${inp}" oninput="usChg('${sz}',this.value)" id="sg-${sz}"&gt;&lt;/td&gt;</t>
  </si>
  <si>
    <t>&lt;td class="sg-prev" id="sgp-${sz}"&gt;${buildPrev(sz,cur,inp)}&lt;/td&gt;</t>
  </si>
  <si>
    <t>&lt;tr&gt;&lt;td style="font-family:'JetBrains Mono',monospace;font-size:11px;color:var(--muted);"&gt;TOTAL&lt;/td&gt;</t>
  </si>
  <si>
    <t>&lt;td class="sg-cur"&gt;${tot}&lt;/td&gt;&lt;td&gt;—&lt;/td&gt;</t>
  </si>
  <si>
    <t>&lt;td class="sg-prev" id="sgp-total"&gt;${buildTotPrev()}&lt;/td&gt;&lt;/tr&gt;`;</t>
  </si>
  <si>
    <t>if(val===''||val===undefined||val===null)return'&lt;span style="color:var(--muted);"&gt;—&lt;/span&gt;';</t>
  </si>
  <si>
    <t>const q=Number(val);if(isNaN(q))return'&lt;span style="color:var(--red);"&gt;invalid&lt;/span&gt;';</t>
  </si>
  <si>
    <t>if(nv&lt;0)return'&lt;span style="color:var(--red);"&gt;⚠ below 0&lt;/span&gt;';</t>
  </si>
  <si>
    <t>const d=nv-cur,cls=d&gt;0?'up':d&lt;0?'dn':'';</t>
  </si>
  <si>
    <t>return`&lt;span class="sg-prev ${cls}"&gt;${d&gt;0?'↑':d&lt;0?'↓':'='} ${nv} &lt;span style="opacity:.6;font-size:11px;"&gt;(${d&gt;=0?'+':''}${d})&lt;/span&gt;&lt;/span&gt;`;</t>
  </si>
  <si>
    <t>const d=nw-old;if(d===0)return`&lt;span style="color:var(--muted);"&gt;${nw}&lt;/span&gt;`;</t>
  </si>
  <si>
    <t>const cls=d&gt;0?'up':'dn';return`&lt;span class="sg-prev ${cls}"&gt;${d&gt;0?'↑':'↓'} ${nw} &lt;span style="opacity:.6;font-size:11px;"&gt;(${d&gt;=0?'+':''}${d})&lt;/span&gt;&lt;/span&gt;`;</t>
  </si>
  <si>
    <t>document.getElementById('us-summary').innerHTML=ch.length?`&lt;strong&gt;${ch.length}&lt;/strong&gt; size${ch.length&gt;1?'s':''} will be updated`:'No changes entered';</t>
  </si>
  <si>
    <t>const p=S.us.prod;if(!p)return toast('No product selected','error');</t>
  </si>
  <si>
    <t>if(!notes)return toast('Please enter a reason','error');</t>
  </si>
  <si>
    <t>for(const sz of sizes){const i=S.us.inputs[sz];if(i===undefined||i==='')continue;const q=Number(i);if(isNaN(q))return toast('Invalid qty for '+sz,'error');if(S.us.mode==='set'&amp;&amp;q&lt;0)return toast('Cannot set negative for '+sz,'error');updates.push({size:sz,quantity:q});}</t>
  </si>
  <si>
    <t>if(!updates.length)return toast('Enter at least one quantity','error');</t>
  </si>
  <si>
    <t>const btn=document.getElementById('us-btn');btn.disabled=true;btn.textContent='Updating…';</t>
  </si>
  <si>
    <t>.withSuccessHandler(r=&gt;{btn.disabled=false;btn.textContent='Update Stock →';</t>
  </si>
  <si>
    <t>if(r.success){toast(`✓ ${r.product_name} · In-hand: ${r.new_in_hand}`,'success');</t>
  </si>
  <si>
    <t>document.getElementById('us-notes').value='';}</t>
  </si>
  <si>
    <t>else toast(r.error||'Failed','error');})</t>
  </si>
  <si>
    <t>.withFailureHandler(e=&gt;{btn.disabled=false;btn.textContent='Update Stock →';toast('Error: '+e.message,'error');})</t>
  </si>
  <si>
    <t>function quickRestock(sn){switchTab('update-stock');document.getElementById('us-style').value=sn;setTimeout(()=&gt;{if(S.products.length)loadProd4Update();},150);}</t>
  </si>
  <si>
    <t>ce.innerHTML=S.config.channels.map(c=&gt;`&lt;button class="np-ch-btn" id="npb-${c}" onclick="npTogCh('${c}')"&gt;${c}&lt;/button&gt;`).join('');</t>
  </si>
  <si>
    <t>else{if(NP.channels.length&gt;=3){toast('Max 3 channels','error');return;}NP.channels.push(c);}</t>
  </si>
  <si>
    <t>if(prev)prev.innerHTML=tot&gt;0?`In Hand will be: &lt;strong style="color:var(--green);font-size:15px;"&gt;${tot}&lt;/strong&gt;`:'In Hand will be: &lt;strong&gt;0&lt;/strong&gt;';</t>
  </si>
  <si>
    <t>if(sum)sum.innerHTML=sn&amp;&amp;nm?`&lt;span class="mono" style="font-size:12px;"&gt;${esc(sn)}&lt;/span&gt; · ${esc(nm)} · &lt;strong&gt;${tot}&lt;/strong&gt; units · ${NP.channels.length?NP.channels.join(', '):'no channels'}`:' Fill in style no. and name';</t>
  </si>
  <si>
    <t>if(!sn)return toast('Style No. required','error');</t>
  </si>
  <si>
    <t>if(!nm)return toast('Product Name required','error');</t>
  </si>
  <si>
    <t>const btn=document.getElementById('np-btn');btn.disabled=true;btn.textContent='Adding…';</t>
  </si>
  <si>
    <t>.withSuccessHandler(r=&gt;{btn.disabled=false;btn.innerHTML='&lt;svg width="13" height="13" fill="none" stroke="currentColor" viewBox="0 0 24 24"&gt;&lt;line x1="12" y1="5" x2="12" y2="19"/&gt;&lt;line x1="5" y1="12" x2="19" y2="12"/&gt;&lt;/svg&gt;Add Product to Sheet';</t>
  </si>
  <si>
    <t>if(r.success){toast(`✓ ${r.product_name} added · Row ${r.row} · ${r.in_hand} units`,'success');resetNP();loadProds();}</t>
  </si>
  <si>
    <t>.withFailureHandler(e=&gt;{btn.disabled=false;btn.innerHTML='Add Product to Sheet';toast('Error: '+e.message,'error');})</t>
  </si>
  <si>
    <t>if(!m||!m.length){document.getElementById('mov-table').innerHTML='&lt;div class="empty"&gt;&lt;strong&gt;No movements yet&lt;/strong&gt;Submit an order to generate entries.&lt;/div&gt;';return;}</t>
  </si>
  <si>
    <t>&lt;thead&gt;&lt;tr&gt;&lt;th&gt;Timestamp&lt;/th&gt;&lt;th&gt;Style No.&lt;/th&gt;&lt;th&gt;Size&lt;/th&gt;&lt;th style="text-align:right;"&gt;Change&lt;/th&gt;&lt;th&gt;Type&lt;/th&gt;&lt;th&gt;Reason&lt;/th&gt;&lt;th&gt;Order&lt;/th&gt;&lt;th&gt;User&lt;/th&gt;&lt;/tr&gt;&lt;/thead&gt;</t>
  </si>
  <si>
    <t>&lt;td class="num" style="font-size:11px;"&gt;${r.timestamp}&lt;/td&gt;</t>
  </si>
  <si>
    <t>&lt;td class="num" style="font-weight:600;color:var(--blue);"&gt;${r.style_no}&lt;/td&gt;</t>
  </si>
  <si>
    <t>&lt;td class="num" style="text-align:center;"&gt;${r.size}&lt;/td&gt;</t>
  </si>
  <si>
    <t>&lt;td class="num" style="text-align:right;font-weight:700;color:${r.change&lt;0?'var(--red)':'var(--green)'};"&gt;${r.change&gt;0?'+':''}${r.change}&lt;/td&gt;</t>
  </si>
  <si>
    <t>&lt;td style="font-size:12px;"&gt;${esc(r.reason)}&lt;/td&gt;</t>
  </si>
  <si>
    <t>&lt;td class="num" style="font-size:11px;color:var(--blue);"&gt;${esc(r.order_id)}&lt;/td&gt;</t>
  </si>
  <si>
    <t>&lt;td style="font-size:11px;color:var(--muted);"&gt;${esc(r.user)}&lt;/td&gt;</t>
  </si>
  <si>
    <t>.withFailureHandler(e=&gt;{document.getElementById('mov-table').innerHTML=`&lt;div class="empty"&gt;Error: ${e.message}&lt;/div&gt;`;})</t>
  </si>
  <si>
    <t>if(t) t.innerHTML='&lt;div class="empty"&gt;Error: '+e.message+'&lt;/div&gt;';</t>
  </si>
  <si>
    <t>// KPIs</t>
  </si>
  <si>
    <t>&lt;div class="kpi blue"&gt;&lt;div class="kpi-label"&gt;Total Made&lt;/div&gt;&lt;div class="kpi-value"&gt;'+(t.manufactured||0).toLocaleString()+'&lt;/div&gt;&lt;div class="kpi-sub"&gt;in hand + sold · '+(t.product_count||0)+' SKUs&lt;/div&gt;&lt;/div&gt;'</t>
  </si>
  <si>
    <t>// Filter + sort</t>
  </si>
  <si>
    <t>// ── Pagination ──</t>
  </si>
  <si>
    <t>// Clamp current page in case the filter shrank the row count</t>
  </si>
  <si>
    <t>// Table</t>
  </si>
  <si>
    <t>tbl.innerHTML='&lt;div class="empty"&gt;&lt;strong&gt;No products'+(q?' matching "'+esc(q)+'"':'')+'&lt;/strong&gt;'+(q?'Try a different search.':'Add products to begin.')+'&lt;/div&gt;';</t>
  </si>
  <si>
    <t>var palettes=[</t>
  </si>
  <si>
    <t>{bg:'#ffedd5',fg:'#c2410c'},{bg:'#fce7f3',fg:'#9d174d'}</t>
  </si>
  <si>
    <t>var html = '&lt;table&gt;&lt;thead&gt;&lt;tr&gt;'</t>
  </si>
  <si>
    <t>// Use absolute index across pages for stable color palette</t>
  </si>
  <si>
    <t>var thumb;</t>
  </si>
  <si>
    <t>if(p.image_id){</t>
  </si>
  <si>
    <t>thumb = '&lt;img class="prod-thumb" src="'+imgUrl(p.image_id,80)+'" alt="" onerror="this.outerHTML=\'&lt;div class=&amp;quot;prod-thumb-ph&amp;quot; style=&amp;quot;background:'+pal.bg+';color:'+pal.fg+'&amp;quot;&gt;'+initials+'&lt;/div&gt;\';"&gt;';</t>
  </si>
  <si>
    <t>thumb = '&lt;div class="prod-thumb-ph" style="background:'+pal.bg+';color:'+pal.fg+';"&gt;'+initials+'&lt;/div&gt;';</t>
  </si>
  <si>
    <t>var barColor = pct&gt;=80?'#16a34a':pct&gt;=50?'#f59e0b':pct&gt;=20?'#3b82f6':'#9ca3af';</t>
  </si>
  <si>
    <t>html += '&lt;tr&gt;'</t>
  </si>
  <si>
    <t>// ── Pager UI ──</t>
  </si>
  <si>
    <t>if(pages &lt;= 1){</t>
  </si>
  <si>
    <t>pager.style.display='none';</t>
  </si>
  <si>
    <t>// Build compact page-number list with ellipsis</t>
  </si>
  <si>
    <t>if(x==='…') btns += '&lt;span style="padding:0 4px;color:var(--muted);"&gt;…&lt;/span&gt;';</t>
  </si>
  <si>
    <t>else        btns += '&lt;button class="pb'+(x===page?' on':'')+'" onclick="prodGoPage('+x+')"&gt;'+x+'&lt;/button&gt;';</t>
  </si>
  <si>
    <t>pager.innerHTML = '&lt;span class="pag-info"&gt;Showing &lt;strong&gt;'+(start+1)+'–'+endIdx+'&lt;/strong&gt; of &lt;strong&gt;'+total+'&lt;/strong&gt; &amp;nbsp;·&amp;nbsp; Page '+page+'/'+pages+'&lt;/span&gt;'</t>
  </si>
  <si>
    <t>// Update sync label with last-refreshed time</t>
  </si>
  <si>
    <t>if(sync &amp;&amp; d.generated_at) sync.textContent = 'Updated '+d.generated_at.split(' ')[1]+' · auto 30s';</t>
  </si>
  <si>
    <t>// ── Issue Form ──</t>
  </si>
  <si>
    <t>return '&lt;div class="field" style="flex:1;min-width:55px;"&gt;&lt;label&gt;'+sz+'&lt;/label&gt;'</t>
  </si>
  <si>
    <t>return '&lt;div style="border:1px solid var(--border);border-radius:8px;padding:12px;margin-bottom:10px;background:var(--surface2);"&gt;'</t>
  </si>
  <si>
    <t>?'&lt;strong&gt;'+validItems+'&lt;/strong&gt; style'+(validItems&gt;1?'s':'')+' · &lt;strong&gt;'+totalPcs+'&lt;/strong&gt; estimated pieces'</t>
  </si>
  <si>
    <t>:'No items added';</t>
  </si>
  <si>
    <t>if(!master) return toast('Master name required','error');</t>
  </si>
  <si>
    <t>if(!fabric) return toast('Fabric name required','error');</t>
  </si>
  <si>
    <t>if(!meters||meters&lt;=0) return toast('Enter meters issued','error');</t>
  </si>
  <si>
    <t>if(!it.style_no){continue;}</t>
  </si>
  <si>
    <t>if(t&lt;=0){return toast('Style '+it.style_no+': enter estimated quantities','error');}</t>
  </si>
  <si>
    <t>if(!S.productMap[it.style_no]){return toast('Unknown style: '+it.style_no,'error');}</t>
  </si>
  <si>
    <t>if(!items.length) return toast('Add at least one style with quantities','error');</t>
  </si>
  <si>
    <t>var btn=document.getElementById('rq-submit-btn');btn.disabled=true;btn.textContent='Submitting…';</t>
  </si>
  <si>
    <t>btn.disabled=false;btn.innerHTML='&lt;svg width="13" height="13" fill="none" stroke="currentColor" viewBox="0 0 24 24"&gt;&lt;polyline points="20 6 9 17 4 12"/&gt;&lt;/svg&gt;Issue Requisition';</t>
  </si>
  <si>
    <t>if(r.success){toast('✓ '+r.req_id+' created · '+r.est_total+' estimated pieces','success');resetReqForm();loadReqStats();}</t>
  </si>
  <si>
    <t>else toast(r.error||'Failed','error');</t>
  </si>
  <si>
    <t>.withFailureHandler(function(e){btn.disabled=false;btn.innerHTML='Issue Requisition';toast('Error: '+e.message,'error');})</t>
  </si>
  <si>
    <t>.createRequisition({master:master,fabric_name:fabric,meters_issued:meters,notes:notes,items:items});</t>
  </si>
  <si>
    <t>document.getElementById('req-open-list').innerHTML='&lt;div class="loader"&gt;loading…&lt;/div&gt;';</t>
  </si>
  <si>
    <t>.withSuccessHandler(function(reqs){</t>
  </si>
  <si>
    <t>S.req.openReqs=reqs||[];</t>
  </si>
  <si>
    <t>renderReqOpen();</t>
  </si>
  <si>
    <t>.withFailureHandler(function(e){document.getElementById('req-open-list').innerHTML='&lt;div class="empty"&gt;Error: '+e.message+'&lt;/div&gt;';})</t>
  </si>
  <si>
    <t>if(!reqs.length){document.getElementById('req-open-list').innerHTML='&lt;div class="empty" style="padding:24px;"&gt;&lt;strong&gt;No open requisitions&lt;/strong&gt;&lt;br&gt;Issue fabric to a master to get started.&lt;/div&gt;';return;}</t>
  </si>
  <si>
    <t>var szHtml=sizes.map(function(sz){return '&lt;span class="mono" style="font-size:11px;"&gt;'+sz+':'+it.estimates[sz]+'&lt;/span&gt;';}).join(' · ');</t>
  </si>
  <si>
    <t>return '&lt;div style="padding:6px 0;border-bottom:1px solid var(--border);"&gt;'</t>
  </si>
  <si>
    <t>return '&lt;div style="border:1px solid var(--border);border-radius:10px;padding:14px;margin-bottom:12px;background:var(--surface);"&gt;'</t>
  </si>
  <si>
    <t>var reason=prompt('Cancel '+reqId+'?\nEnter reason (optional):');</t>
  </si>
  <si>
    <t>if(r.success){toast('Requisition cancelled','success');loadReqOpen();loadReqStats();}</t>
  </si>
  <si>
    <t>// ── Receive Modal (redesigned: simple 2-step) ──</t>
  </si>
  <si>
    <t>var html='&lt;div style="background:var(--amber-l);border:1px solid var(--amber-s);border-radius:8px;padding:12px 16px;margin-bottom:16px;"&gt;'</t>
  </si>
  <si>
    <t>html+='&lt;div style="border:1px solid var(--border);border-radius:10px;margin-bottom:14px;overflow:hidden;" id="recv-card-'+it.line_no+'"&gt;';</t>
  </si>
  <si>
    <t>// Header</t>
  </si>
  <si>
    <t>html+='&lt;div style="background:var(--surface2);padding:10px 14px;border-bottom:1px solid var(--border);display:flex;justify-content:space-between;align-items:center;"&gt;'</t>
  </si>
  <si>
    <t>// STEP 1: What did you actually receive? (size-wise)</t>
  </si>
  <si>
    <t>html+='&lt;div style="padding:14px;"&gt;';</t>
  </si>
  <si>
    <t>html+='&lt;div style="font-weight:600;font-size:13px;margin-bottom:8px;"&gt;Step 1 — How many good pieces did you receive?&lt;/div&gt;';</t>
  </si>
  <si>
    <t>html+='&lt;div style="display:flex;gap:8px;flex-wrap:wrap;margin-bottom:4px;"&gt;';</t>
  </si>
  <si>
    <t>html+='&lt;div style="flex:1;min-width:65px;text-align:center;"&gt;'</t>
  </si>
  <si>
    <t>// Auto-calculated summary line</t>
  </si>
  <si>
    <t>html+='&lt;div id="recv-calc-'+it.line_no+'" style="margin-top:10px;padding:10px 14px;border-radius:8px;font-size:13px;font-family:\'JetBrains Mono\',monospace;"&gt;&lt;/div&gt;';</t>
  </si>
  <si>
    <t>// STEP 2: Loss reasons (only visible when gap &gt; 0)</t>
  </si>
  <si>
    <t>html+='&lt;div id="recv-loss-wrap-'+it.line_no+'" style="display:none;margin-top:12px;border-top:1px solid var(--border);padding-top:12px;"&gt;';</t>
  </si>
  <si>
    <t>html+='&lt;div style="font-weight:600;font-size:13px;margin-bottom:8px;color:var(--red);"&gt;Step 2 — Where did the missing pieces go?&lt;/div&gt;';</t>
  </si>
  <si>
    <t>html+='&lt;div style="display:grid;grid-template-columns:1fr 1fr 1fr;gap:8px;"&gt;';</t>
  </si>
  <si>
    <t>{key:'defective',label:'Defective',hint:'Bad stitching, holes'},</t>
  </si>
  <si>
    <t>{key:'fabric_shortage',label:'Fabric Short',hint:'Not enough cloth'},</t>
  </si>
  <si>
    <t>{key:'cutting_waste',label:'Cutting Waste',hint:'Unusable cut pieces'},</t>
  </si>
  <si>
    <t>{key:'master_error',label:'Master Error',hint:'Wrong size/pattern'},</t>
  </si>
  <si>
    <t>{key:'shrinkage',label:'Shrinkage',hint:'Fabric shrank'},</t>
  </si>
  <si>
    <t>{key:'other_loss',label:'Other',hint:'Theft, lost, etc.'}</t>
  </si>
  <si>
    <t>html+='&lt;div style="text-align:center;"&gt;'</t>
  </si>
  <si>
    <t>// Other loss note (only shown when other &gt; 0)</t>
  </si>
  <si>
    <t>html+='&lt;div id="recv-other-note-wrap-'+it.line_no+'" style="display:none;margin-top:8px;"&gt;'</t>
  </si>
  <si>
    <t>html+='&lt;div id="recv-loss-status-'+it.line_no+'" style="margin-top:8px;padding:8px 12px;border-radius:6px;font-size:12px;font-family:\'JetBrains Mono\',monospace;"&gt;&lt;/div&gt;';</t>
  </si>
  <si>
    <t>html+='&lt;/div&gt;'; // end loss-wrap</t>
  </si>
  <si>
    <t>html+='&lt;/div&gt;'; // end padding</t>
  </si>
  <si>
    <t>html+='&lt;/div&gt;'; // end card</t>
  </si>
  <si>
    <t>html+='&lt;div class="field" style="margin-top:10px;"&gt;&lt;label&gt;Notes (optional)&lt;/label&gt;&lt;input type="text" id="recv-notes" placeholder="Any notes about this batch"&gt;&lt;/div&gt;';</t>
  </si>
  <si>
    <t>// Calculate actual received</t>
  </si>
  <si>
    <t>// Got MORE than estimated — that's fine, no loss needed</t>
  </si>
  <si>
    <t>calcEl.innerHTML='Received &lt;strong&gt;'+actTotal+'&lt;/strong&gt; — that\'s &lt;strong&gt;'+Math.abs(gap)+' extra&lt;/strong&gt; beyond the estimate of '+it.est_total+'. All '+actTotal+' will be added to stock.';</t>
  </si>
  <si>
    <t>// Exact match</t>
  </si>
  <si>
    <t>calcEl.innerHTML='✓ Received &lt;strong&gt;'+actTotal+'&lt;/strong&gt; out of '+it.est_total+' estimated — perfect match! All will be added to stock.';</t>
  </si>
  <si>
    <t>// Got LESS than estimated — need to explain the gap</t>
  </si>
  <si>
    <t>calcEl.style.background='var(--amber-s)';calcEl.style.color='var(--amber)';</t>
  </si>
  <si>
    <t>calcEl.innerHTML='Received &lt;strong&gt;'+actTotal+'&lt;/strong&gt; out of '+it.est_total+' estimated — &lt;strong style="color:var(--red);"&gt;'+gap+' piece'+(gap&gt;1?'s':'')+' missing&lt;/strong&gt;. Tell us where they went ↓';</t>
  </si>
  <si>
    <t>// Calculate loss breakdown</t>
  </si>
  <si>
    <t>var lossTotal=0;</t>
  </si>
  <si>
    <t>var otherVal=0;</t>
  </si>
  <si>
    <t>// Show/hide other note field</t>
  </si>
  <si>
    <t>lossStatus.innerHTML='✓ '+actTotal+' received + '+lossTotal+' accounted = '+it.est_total+' total — all pieces accounted for';</t>
  </si>
  <si>
    <t>lossStatus.innerHTML='✗ Enter the reason for "Other" loss above';</t>
  </si>
  <si>
    <t>lossStatus.innerHTML='✗ Accounted: '+lossTotal+' of '+gap+' missing — still need to explain &lt;strong&gt;'+(gap-lossTotal)+'&lt;/strong&gt; more piece'+(gap-lossTotal&gt;1?'s':'');</t>
  </si>
  <si>
    <t>lossStatus.innerHTML='✗ Loss total ('+lossTotal+') exceeds the gap ('+gap+') — remove &lt;strong&gt;'+(lossTotal-gap)+'&lt;/strong&gt;';</t>
  </si>
  <si>
    <t>// Update modal footer summary + button state</t>
  </si>
  <si>
    <t>var g=it2.est_total-a;var l=0;</t>
  </si>
  <si>
    <t>var otherV2=0;</t>
  </si>
  <si>
    <t>document.getElementById('recv-summary').innerHTML='&lt;strong style="color:var(--green);"&gt;'+totalAct+'&lt;/strong&gt; pieces → stock'+(totalLoss2?' · &lt;strong style="color:var(--red);"&gt;'+totalLoss2+'&lt;/strong&gt; lost':'');</t>
  </si>
  <si>
    <t>var btn=document.getElementById('recv-submit-btn');btn.disabled=true;btn.textContent='Processing…';</t>
  </si>
  <si>
    <t>btn.disabled=false;btn.innerHTML='&lt;svg width="13" height="13" fill="none" stroke="currentColor" viewBox="0 0 24 24"&gt;&lt;polyline points="20 6 9 17 4 12"/&gt;&lt;/svg&gt;Receive &amp; Add Stock';</t>
  </si>
  <si>
    <t>toast('✓ Received! '+r.total_added+' pieces added to stock','success');</t>
  </si>
  <si>
    <t>} else toast(r.error||'Failed','error');</t>
  </si>
  <si>
    <t>.withFailureHandler(function(e){btn.disabled=false;btn.innerHTML='Receive &amp; Add Stock';toast('Error: '+e.message,'error');})</t>
  </si>
  <si>
    <t>// ── Stats KPIs ──</t>
  </si>
  <si>
    <t>.withSuccessHandler(function(stats){</t>
  </si>
  <si>
    <t>S.req.stats=stats;</t>
  </si>
  <si>
    <t>renderReqKPI(stats);</t>
  </si>
  <si>
    <t>&lt;div class="kpi amber"&gt;&lt;div class="kpi-label"&gt;Open Batches&lt;/div&gt;&lt;div class="kpi-value"&gt;'+s.open_count+'&lt;/div&gt;&lt;div class="kpi-sub"&gt;'+s.open_est_total+' pieces expected&lt;/div&gt;&lt;/div&gt;'</t>
  </si>
  <si>
    <t>document.getElementById('req-hist-table').innerHTML='&lt;div class="loader"&gt;loading…&lt;/div&gt;';</t>
  </si>
  <si>
    <t>if(!reqs||!reqs.length){document.getElementById('req-hist-table').innerHTML='&lt;div class="empty" style="padding:20px;"&gt;&lt;strong&gt;No requisitions found&lt;/strong&gt;&lt;/div&gt;';return;}</t>
  </si>
  <si>
    <t>var html='&lt;table&gt;&lt;thead&gt;&lt;tr&gt;&lt;th&gt;Req ID&lt;/th&gt;&lt;th&gt;Master&lt;/th&gt;&lt;th&gt;Fabric&lt;/th&gt;&lt;th style="text-align:right;"&gt;Mtrs&lt;/th&gt;&lt;th&gt;Styles&lt;/th&gt;&lt;th style="text-align:right;"&gt;Est&lt;/th&gt;&lt;th style="text-align:right;"&gt;Actual&lt;/th&gt;&lt;th style="text-align:right;"&gt;Loss&lt;/th&gt;&lt;th&gt;Status&lt;/th&gt;&lt;th&gt;Date&lt;/th&gt;&lt;th style="width:30px;"&gt;&lt;/th&gt;&lt;/tr&gt;&lt;/thead&gt;&lt;tbody&gt;';</t>
  </si>
  <si>
    <t>var lossColor=r.total_loss&gt;0?'var(--red)':'var(--green)';</t>
  </si>
  <si>
    <t>html+='&lt;tr style="cursor:pointer;" onclick="showReqDetail(\''+r.req_id+'\')"&gt;'</t>
  </si>
  <si>
    <t>// Requisition detail popup</t>
  </si>
  <si>
    <t>// Header info</t>
  </si>
  <si>
    <t>html+='&lt;div style="display:grid;grid-template-columns:1fr 1fr 1fr;gap:10px;margin-bottom:16px;"&gt;'</t>
  </si>
  <si>
    <t>// Summary KPIs</t>
  </si>
  <si>
    <t>html+='&lt;div style="display:grid;grid-template-columns:1fr 1fr 1fr 1fr;gap:8px;margin-bottom:16px;"&gt;'</t>
  </si>
  <si>
    <t>// Per-item details</t>
  </si>
  <si>
    <t>html+='&lt;div style="border:1px solid var(--border);border-radius:8px;margin-bottom:10px;overflow:hidden;"&gt;'</t>
  </si>
  <si>
    <t>// Size breakdown table</t>
  </si>
  <si>
    <t>html+='&lt;div style="padding:10px 14px;"&gt;';</t>
  </si>
  <si>
    <t>html+='&lt;table style="margin:0;font-size:12px;"&gt;&lt;thead&gt;&lt;tr&gt;&lt;th&gt;Size&lt;/th&gt;';</t>
  </si>
  <si>
    <t>for(var s=0;s&lt;sizes.length;s++) html+='&lt;th style="text-align:center;"&gt;'+sizes[s]+'&lt;/th&gt;';</t>
  </si>
  <si>
    <t>html+='&lt;th style="text-align:right;font-weight:700;"&gt;Total&lt;/th&gt;&lt;/tr&gt;&lt;/thead&gt;&lt;tbody&gt;';</t>
  </si>
  <si>
    <t>html+='&lt;tr&gt;&lt;td style="font-weight:500;"&gt;Estimated&lt;/td&gt;';</t>
  </si>
  <si>
    <t>for(var s=0;s&lt;sizes.length;s++) html+='&lt;td class="mono" style="text-align:center;"&gt;'+it.estimates[sizes[s]]+'&lt;/td&gt;';</t>
  </si>
  <si>
    <t>html+='&lt;td class="mono" style="text-align:right;font-weight:700;"&gt;'+it.est_total+'&lt;/td&gt;&lt;/tr&gt;';</t>
  </si>
  <si>
    <t>html+='&lt;tr&gt;&lt;td style="font-weight:500;color:var(--green);"&gt;Received&lt;/td&gt;';</t>
  </si>
  <si>
    <t>for(var s=0;s&lt;sizes.length;s++) html+='&lt;td class="mono" style="text-align:center;color:var(--green);font-weight:600;"&gt;'+it.actuals[sizes[s]]+'&lt;/td&gt;';</t>
  </si>
  <si>
    <t>html+='&lt;td class="mono" style="text-align:right;font-weight:700;color:var(--green);"&gt;'+it.act_total+'&lt;/td&gt;&lt;/tr&gt;';</t>
  </si>
  <si>
    <t>// Loss per size row</t>
  </si>
  <si>
    <t>html+='&lt;tr style="background:var(--red-s);"&gt;&lt;td style="font-weight:600;color:var(--red);"&gt;Lost&lt;/td&gt;';</t>
  </si>
  <si>
    <t>html+='&lt;td class="mono" style="text-align:center;font-weight:700;color:'+(diff&gt;0?'var(--red)':'var(--muted)')+';"&gt;'+(diff&gt;0?'-'+diff:'0')+'&lt;/td&gt;';</t>
  </si>
  <si>
    <t>html+='&lt;td class="mono" style="text-align:right;font-weight:700;color:var(--red);"&gt;-'+lossRowTotal+'&lt;/td&gt;&lt;/tr&gt;';</t>
  </si>
  <si>
    <t>// Loss breakdown (if received and has losses)</t>
  </si>
  <si>
    <t>{label:'Defective',val:it.defective,color:'#dc2626'},</t>
  </si>
  <si>
    <t>{label:'Fabric Shortage',val:it.fabric_shortage,color:'#d97706'},</t>
  </si>
  <si>
    <t>{label:'Master Error',val:it.master_error,color:'#be185d'},</t>
  </si>
  <si>
    <t>{label:'Shrinkage',val:it.shrinkage,color:'#7c3aed'},</t>
  </si>
  <si>
    <t>{label:'Other',val:it.other_loss,color:'#6b7280'}</t>
  </si>
  <si>
    <t>// Visual loss bar</t>
  </si>
  <si>
    <t>html+='&lt;div style="margin-top:10px;padding:12px 14px;background:#fef2f2;border:1px solid #fecaca;border-radius:8px;"&gt;';</t>
  </si>
  <si>
    <t>html+='&lt;div style="font-weight:600;font-size:12px;color:#991b1b;margin-bottom:8px;"&gt;Loss Breakdown — '+it.total_loss+' piece'+(it.total_loss&gt;1?'s':'')+' lost&lt;/div&gt;';</t>
  </si>
  <si>
    <t>// Stacked bar</t>
  </si>
  <si>
    <t>html+='&lt;div style="display:flex;height:24px;border-radius:4px;overflow:hidden;margin-bottom:8px;"&gt;';</t>
  </si>
  <si>
    <t>html+='&lt;div style="width:'+pct+'%;background:'+losses[l].color+';display:flex;align-items:center;justify-content:center;color:#fff;font-size:10px;font-weight:600;min-width:20px;" title="'+losses[l].label+': '+losses[l].val+'"&gt;'+losses[l].val+'&lt;/div&gt;';</t>
  </si>
  <si>
    <t>// Legend</t>
  </si>
  <si>
    <t>html+='&lt;div style="display:flex;gap:12px;flex-wrap:wrap;font-size:11px;"&gt;';</t>
  </si>
  <si>
    <t>html+='&lt;span style="display:flex;align-items:center;gap:4px;"&gt;&lt;span style="width:8px;height:8px;border-radius:2px;background:'+losses[l].color+';flex-shrink:0;"&gt;&lt;/span&gt;&lt;strong&gt;'+losses[l].label+':&lt;/strong&gt; '+losses[l].val+'&lt;/span&gt;';</t>
  </si>
  <si>
    <t>// Show other_note if present</t>
  </si>
  <si>
    <t>html+='&lt;div style="margin-top:8px;padding:8px 12px;background:#fff5f5;border:1px dashed #f87171;border-radius:6px;font-size:12px;"&gt;'</t>
  </si>
  <si>
    <t>// Notes &amp; metadata</t>
  </si>
  <si>
    <t>if(r.notes) html+='&lt;div style="font-size:12px;color:var(--muted);margin-top:8px;"&gt;Notes: '+esc(r.notes)+'&lt;/div&gt;';</t>
  </si>
  <si>
    <t>if(r.received_at) html+='&lt;div style="font-size:11px;color:var(--muted);margin-top:4px;"&gt;Received: '+r.received_at+' by '+esc(r.received_by)+'&lt;/div&gt;';</t>
  </si>
  <si>
    <t>html+='&lt;div style="font-size:11px;color:var(--muted);margin-top:2px;"&gt;Created by: '+esc(r.created_by)+'&lt;/div&gt;';</t>
  </si>
  <si>
    <t>// Use the existing recv modal structure for showing details</t>
  </si>
  <si>
    <t>modal.style.cssText='position:fixed;top:0;left:0;right:0;bottom:0;background:rgba(0,0,0,.5);z-index:1000;overflow-y:auto;padding:24px;';</t>
  </si>
  <si>
    <t>modal.innerHTML='&lt;div style="max-width:700px;margin:30px auto;background:var(--surface);border-radius:12px;box-shadow:var(--shadow-md);overflow:hidden;"&gt;'</t>
  </si>
  <si>
    <t>// ── Loss Insights ──</t>
  </si>
  <si>
    <t>document.getElementById('req-insights-body').innerHTML='&lt;div class="loader"&gt;loading…&lt;/div&gt;';</t>
  </si>
  <si>
    <t>.withFailureHandler(function(e){document.getElementById('req-insights-body').innerHTML='&lt;div class="empty"&gt;Error: '+e.message+'&lt;/div&gt;';})</t>
  </si>
  <si>
    <t>if(!s||!s.received_count){document.getElementById('req-insights-body').innerHTML='&lt;div class="empty" style="padding:24px;"&gt;&lt;strong&gt;No received requisitions yet&lt;/strong&gt;&lt;br&gt;Receive a batch to see loss analysis.&lt;/div&gt;';return;}</t>
  </si>
  <si>
    <t>{label:'Defective',val:lb.defective||0,color:'#E24B4A'},</t>
  </si>
  <si>
    <t>{label:'Fabric Shortage',val:lb.fabric_shortage||0,color:'#BA7517'},</t>
  </si>
  <si>
    <t>{label:'Cutting Waste',val:lb.cutting_waste||0,color:'#D85A30'},</t>
  </si>
  <si>
    <t>{label:'Master Error',val:lb.master_error||0,color:'#D4537E'},</t>
  </si>
  <si>
    <t>{label:'Shrinkage',val:lb.shrinkage||0,color:'#534AB7'},</t>
  </si>
  <si>
    <t>{label:'Other',val:lb.other_loss||0,color:'#888780'}</t>
  </si>
  <si>
    <t>var barsHtml='&lt;div style="margin-bottom:20px;"&gt;&lt;div style="font-weight:600;font-size:14px;margin-bottom:10px;"&gt;Loss Breakdown (all batches)&lt;/div&gt;';</t>
  </si>
  <si>
    <t>barsHtml+='&lt;div style="display:flex;align-items:center;gap:10px;margin-bottom:6px;"&gt;'</t>
  </si>
  <si>
    <t>// Master performance table</t>
  </si>
  <si>
    <t>masterHtml='&lt;div style="font-weight:600;font-size:14px;margin-bottom:10px;"&gt;Master Performance&lt;/div&gt;'</t>
  </si>
  <si>
    <t>masterHtml+='&lt;tr&gt;&lt;td style="font-weight:600;"&gt;'+esc(m.master)+'&lt;/td&gt;'</t>
  </si>
  <si>
    <t>document.getElementById('req-insights-body').innerHTML=</t>
  </si>
  <si>
    <t>&lt;div style="padding:16px;"&gt;'+barsHtml+masterHtml+'&lt;/div&gt;';</t>
  </si>
  <si>
    <t>google.script.run.withSuccessHandler(renderDash).withFailureHandler(e=&gt;toast('Dashboard: '+e.message,'error')).getDashboard();</t>
  </si>
  <si>
    <t>&lt;div class="kpi blue"&gt;&lt;div class="kpi-label"&gt;Today's Orders&lt;/div&gt;&lt;div class="kpi-value"&gt;${d.today_orders}&lt;/div&gt;&lt;div class="kpi-sub"&gt;${d.today_units} units dispatched&lt;/div&gt;&lt;/div&gt;</t>
  </si>
  <si>
    <t>&lt;div class="kpi green"&gt;&lt;div class="kpi-label"&gt;Total In Hand&lt;/div&gt;&lt;div class="kpi-value"&gt;${(d.total_in_hand||0).toLocaleString()}&lt;/div&gt;&lt;div class="kpi-sub"&gt;across ${d.total_products} SKUs&lt;/div&gt;&lt;/div&gt;</t>
  </si>
  <si>
    <t>&lt;div class="kpi ${d.low_stock_count&gt;0?'amber':'green'}"&gt;&lt;div class="kpi-label"&gt;Low Stock&lt;/div&gt;&lt;div class="kpi-value ${d.low_stock_count&gt;0?'amber':'green'}"&gt;${d.low_stock_count}&lt;/div&gt;&lt;div class="kpi-sub"&gt;products need restock&lt;/div&gt;&lt;/div&gt;</t>
  </si>
  <si>
    <t>&lt;div class="kpi blue"&gt;&lt;div class="kpi-label"&gt;SKUs Tracked&lt;/div&gt;&lt;div class="kpi-value"&gt;${d.total_products}&lt;/div&gt;&lt;div class="kpi-sub"&gt;${healthPct}% adequately stocked&lt;/div&gt;&lt;/div&gt;`;</t>
  </si>
  <si>
    <t>const chColors={'Shopify':'#16a34a','Flipkart':'#1d4ed8','Amazon':'#f59e0b','Meesho':'#9333ea','Direct':'#ef4444'};</t>
  </si>
  <si>
    <t>&lt;div class="ch-bar-row"&gt;</t>
  </si>
  <si>
    <t>&lt;span class="ch-bar-label"&gt;${c}&lt;/span&gt;</t>
  </si>
  <si>
    <t>&lt;div class="ch-bar-track"&gt;&lt;div class="ch-bar-fill" style="width:${Math.round(v/maxV*100)}%;background:${chColors[c]||'#6b7280'};"&gt;&lt;/div&gt;&lt;/div&gt;</t>
  </si>
  <si>
    <t>&lt;span class="ch-bar-val"&gt;${v}&lt;/span&gt;</t>
  </si>
  <si>
    <t>&lt;/div&gt;`).join(''):'&lt;div class="empty" style="padding:20px;"&gt;No orders today.&lt;/div&gt;';</t>
  </si>
  <si>
    <t>// Health ring — use dashboard counts directly since products may not be in S yet</t>
  </si>
  <si>
    <t>&lt;div class="ring-wrap"&gt;</t>
  </si>
  <si>
    <t>&lt;svg viewBox="0 0 96 96" width="96" height="96" style="flex-shrink:0;"&gt;</t>
  </si>
  <si>
    <t>&lt;circle cx="48" cy="48" r="${r}" fill="none" stroke="#e5e7eb" stroke-width="10"/&gt;</t>
  </si>
  <si>
    <t>&lt;circle cx="48" cy="48" r="${r}" fill="none" stroke="#16a34a" stroke-width="10"</t>
  </si>
  <si>
    <t>stroke-dasharray="${okD} ${circ}" stroke-dashoffset="${circ*0.25}" stroke-linecap="butt"/&gt;</t>
  </si>
  <si>
    <t>&lt;circle cx="48" cy="48" r="${r}" fill="none" stroke="#f59e0b" stroke-width="10"</t>
  </si>
  <si>
    <t>stroke-dasharray="${warnD} ${circ}" stroke-dashoffset="${circ*0.25-okD}" stroke-linecap="butt"/&gt;</t>
  </si>
  <si>
    <t>&lt;circle cx="48" cy="48" r="${r}" fill="none" stroke="#dc2626" stroke-width="10"</t>
  </si>
  <si>
    <t>stroke-dasharray="${zeroD} ${circ}" stroke-dashoffset="${circ*0.25-okD-warnD}" stroke-linecap="butt"/&gt;</t>
  </si>
  <si>
    <t>&lt;text x="48" y="44" text-anchor="middle" font-size="16" font-weight="700" fill="#18181b" font-family="Fraunces,serif"&gt;${Math.round(((total-warn-zero)/total)*100)}%&lt;/text&gt;</t>
  </si>
  <si>
    <t>&lt;text x="48" y="58" text-anchor="middle" font-size="9" fill="#71717a" font-family="JetBrains Mono,monospace"&gt;HEALTHY&lt;/text&gt;</t>
  </si>
  <si>
    <t>&lt;div class="ring-labels" style="flex:1;"&gt;</t>
  </si>
  <si>
    <t>&lt;div class="ring-lbl-row"&gt;&lt;div&gt;&lt;span class="ring-dot" style="background:#16a34a;"&gt;&lt;/span&gt;Well stocked (&amp;gt;3)&lt;/div&gt;&lt;div class="num" style="font-weight:600;"&gt;${total-warn-zero}&lt;/div&gt;&lt;/div&gt;</t>
  </si>
  <si>
    <t>&lt;div class="ring-lbl-row"&gt;&lt;div&gt;&lt;span class="ring-dot" style="background:#f59e0b;"&gt;&lt;/span&gt;Low stock (1–3)&lt;/div&gt;&lt;div class="num" style="font-weight:600;color:var(--amber);"&gt;${warn}&lt;/div&gt;&lt;/div&gt;</t>
  </si>
  <si>
    <t>&lt;div class="ring-lbl-row"&gt;&lt;div&gt;&lt;span class="ring-dot" style="background:#dc2626;"&gt;&lt;/span&gt;Out of stock&lt;/div&gt;&lt;div class="num" style="font-weight:600;color:var(--red);"&gt;${zero}&lt;/div&gt;&lt;/div&gt;</t>
  </si>
  <si>
    <t>if(badge){badge.textContent=list.length+' items';badge.style.display=list.length?'':'none';}</t>
  </si>
  <si>
    <t>if(!list.length){document.getElementById('dash-low').innerHTML='&lt;div class="empty" style="padding:20px;"&gt;All products well-stocked ✓&lt;/div&gt;';return;}</t>
  </si>
  <si>
    <t>document.getElementById('dash-low').innerHTML=`&lt;table&gt;</t>
  </si>
  <si>
    <t>&lt;thead&gt;&lt;tr&gt;&lt;th&gt;Style No.&lt;/th&gt;&lt;th&gt;Product&lt;/th&gt;&lt;th style="text-align:right;"&gt;In Hand&lt;/th&gt;&lt;th&gt;&lt;/th&gt;&lt;/tr&gt;&lt;/thead&gt;</t>
  </si>
  <si>
    <t>&lt;tbody&gt;${list.slice(0,10).map(p=&gt;`&lt;tr&gt;</t>
  </si>
  <si>
    <t>&lt;td class="num" style="color:var(--blue);font-weight:600;"&gt;${esc(p.style_no)}&lt;/td&gt;</t>
  </si>
  <si>
    <t>&lt;td&gt;${esc(p.product_name)}&lt;/td&gt;</t>
  </si>
  <si>
    <t>&lt;td style="text-align:right;font-family:'JetBrains Mono',monospace;font-weight:700;color:${p.in_hand===0?'var(--muted)':'var(--red)'};"&gt;${p.in_hand}&lt;/td&gt;</t>
  </si>
  <si>
    <t>&lt;td&gt;&lt;button class="btn btn-secondary btn-sm" onclick="quickRestock('${p.style_no}')"&gt;+ Restock&lt;/button&gt;&lt;/td&gt;</t>
  </si>
  <si>
    <t>${list.length&gt;10?`&lt;div style="padding:8px 14px;font-size:11px;color:var(--muted);font-family:'JetBrains Mono',monospace;"&gt;+${list.length-10} more — see Inventory tab&lt;/div&gt;`:''}`;</t>
  </si>
  <si>
    <t>const recent=(orders||[]).slice(0,5);</t>
  </si>
  <si>
    <t>if(!recent.length){document.getElementById('dash-recent').innerHTML='&lt;div class="empty" style="padding:20px;"&gt;No orders yet.&lt;/div&gt;';return;}</t>
  </si>
  <si>
    <t>document.getElementById('dash-recent').innerHTML=`&lt;table&gt;</t>
  </si>
  <si>
    <t>&lt;thead&gt;&lt;tr&gt;&lt;th&gt;Order ID&lt;/th&gt;&lt;th&gt;Channel&lt;/th&gt;&lt;th&gt;Buyer&lt;/th&gt;&lt;th style="text-align:right;"&gt;Units&lt;/th&gt;&lt;th&gt;Status&lt;/th&gt;&lt;/tr&gt;&lt;/thead&gt;</t>
  </si>
  <si>
    <t>&lt;td class="num" style="color:var(--blue);font-size:11px;"&gt;${o.order_id}&lt;/td&gt;</t>
  </si>
  <si>
    <t>&lt;td&gt;&lt;span class="badge b-ch"&gt;${o.channel}&lt;/span&gt;&lt;/td&gt;</t>
  </si>
  <si>
    <t>&lt;td style="font-size:13px;"&gt;${esc(o.buyer_name)}&lt;/td&gt;</t>
  </si>
  <si>
    <t>&lt;td class="num" style="text-align:right;font-weight:700;"&gt;${o.total_quantity}&lt;/td&gt;</t>
  </si>
  <si>
    <t>href="https://fonts.googleapis.com/css2?family=Inter:wght@400;500;600;700&amp;family=Outfit:wght@400;500;600;700&amp;family=JetBrains+Mono:wght@400;500;600;700&amp;display=swap"</t>
  </si>
  <si>
    <t>&lt;!-- PDF Generation Libraries --&gt;</t>
  </si>
  <si>
    <t>&lt;script src="https://cdnjs.cloudflare.com/ajax/libs/jspdf/2.5.1/jspdf.umd.min.js"&gt;&lt;/script&gt;</t>
  </si>
  <si>
    <t>&lt;script src="https://cdnjs.cloudflare.com/ajax/libs/jspdf-autotable/3.5.31/jspdf.plugin.autotable.min.js"&gt;&lt;/script&gt;</t>
  </si>
  <si>
    <t>/* ── CORE FIXES &amp; ANIMATIONS ────────────────────── */</t>
  </si>
  <si>
    <t>[hidden] {</t>
  </si>
  <si>
    <t>display: none !important;</t>
  </si>
  <si>
    <t>/* Bulletproof tab hiding */</t>
  </si>
  <si>
    <t>0% {</t>
  </si>
  <si>
    <t>transform: translateY(8px);</t>
  </si>
  <si>
    <t>transform: translateY(0);</t>
  </si>
  <si>
    <t>.fade-in {</t>
  </si>
  <si>
    <t>animation: slideUpFade 0.25s cubic-bezier(0.16, 1, 0.3, 1) forwards;</t>
  </si>
  <si>
    <t>@keyframes spin {</t>
  </si>
  <si>
    <t>transform: rotate(360deg);</t>
  </si>
  <si>
    <t>transform: scale(1);</t>
  </si>
  <si>
    <t>opacity: 0.5;</t>
  </si>
  <si>
    <t>transform: scale(0.8);</t>
  </si>
  <si>
    <t>h1,</t>
  </si>
  <si>
    <t>h2,</t>
  </si>
  <si>
    <t>h3,</t>
  </si>
  <si>
    <t>h4,</t>
  </si>
  <si>
    <t>.title-font,</t>
  </si>
  <si>
    <t>.tb-title,</t>
  </si>
  <si>
    <t>.card-title,</t>
  </si>
  <si>
    <t>letter-spacing: -0.01em;</t>
  </si>
  <si>
    <t>/* ── SHELL &amp; LAYOUT ─────────────────────────────── */</t>
  </si>
  <si>
    <t>border-right: 1px solid rgba(255, 255, 255, 0.05);</t>
  </si>
  <si>
    <t>width: 18px;</t>
  </si>
  <si>
    <t>height: 18px;</t>
  </si>
  <si>
    <t>opacity: 0.7;</t>
  </si>
  <si>
    <t>.sb-item:hover svg,</t>
  </si>
  <si>
    <t>border-top: 1px solid rgba(255, 255, 255, 0.05);</t>
  </si>
  <si>
    <t>animation: pulse-dot 2s infinite;</t>
  </si>
  <si>
    <t>position: sticky;</t>
  </si>
  <si>
    <t>z-index: 50;</t>
  </si>
  <si>
    <t>font-weight: 400;</t>
  </si>
  <si>
    <t>.btn:active {</t>
  </si>
  <si>
    <t>transform: scale(0.97);</t>
  </si>
  <si>
    <t>box-shadow: 0 4px 10px rgba(0, 0, 0, 0.1);</t>
  </si>
  <si>
    <t>box-shadow: 0 6px 14px rgba(0, 0, 0, 0.15);</t>
  </si>
  <si>
    <t>border-color: var(--muted);</t>
  </si>
  <si>
    <t>background: #d97706;</t>
  </si>
  <si>
    <t>background: #059669;</t>
  </si>
  <si>
    <t>box-shadow: none;</t>
  </si>
  <si>
    <t>background: #fecaca;</t>
  </si>
  <si>
    <t>padding: 6px 12px;</t>
  </si>
  <si>
    <t>.btn:disabled {</t>
  </si>
  <si>
    <t>transform: none;</t>
  </si>
  <si>
    <t>.card:hover {</t>
  </si>
  <si>
    <t>padding: 24px;</t>
  </si>
  <si>
    <t>grid-template-columns: repeat(auto-fit, minmax(200px, 1fr));</t>
  </si>
  <si>
    <t>gap: 20px;</t>
  </si>
  <si>
    <t>margin-bottom: 28px;</t>
  </si>
  <si>
    <t>.kpi:hover {</t>
  </si>
  <si>
    <t>transform: translateY(-2px);</t>
  </si>
  <si>
    <t>height: 4px;</t>
  </si>
  <si>
    <t>.kpi.blue::before {</t>
  </si>
  <si>
    <t>.kpi.green::before {</t>
  </si>
  <si>
    <t>.kpi.amber::before {</t>
  </si>
  <si>
    <t>.kpi.red::before {</t>
  </si>
  <si>
    <t>background: var(--red);</t>
  </si>
  <si>
    <t>letter-spacing: 0.05em;</t>
  </si>
  <si>
    <t>margin-bottom: 12px;</t>
  </si>
  <si>
    <t>font-size: 40px;</t>
  </si>
  <si>
    <t>letter-spacing: -0.03em;</t>
  </si>
  <si>
    <t>gap: 24px;</t>
  </si>
  <si>
    <t>@media(max-width: 900px) {</t>
  </si>
  <si>
    <t>letter-spacing: 0.08em;</t>
  </si>
  <si>
    <t>grid-template-columns: repeat(auto-fit, minmax(220px, 1fr));</t>
  </si>
  <si>
    <t>border: 1px solid var(--border2);</t>
  </si>
  <si>
    <t>box-shadow: 0 0 0 3px rgba(37, 99, 235, 0.15);</t>
  </si>
  <si>
    <t>min-height: 80px;</t>
  </si>
  <si>
    <t>margin: 24px 0;</t>
  </si>
  <si>
    <t>grid-template-columns: 2fr 1fr 100px 140px auto;</t>
  </si>
  <si>
    <t>padding: 16px;</t>
  </si>
  <si>
    <t>background: var(--surface-hover);</t>
  </si>
  <si>
    <t>.item-row:hover {</t>
  </si>
  <si>
    <t>background: #fdfdfd;</t>
  </si>
  <si>
    <t>border: 1px dashed var(--border2);</t>
  </si>
  <si>
    <t>height: 42px;</t>
  </si>
  <si>
    <t>width: 42px;</t>
  </si>
  <si>
    <t>transform: scale(1.05);</t>
  </si>
  <si>
    <t>padding-top: 20px;</t>
  </si>
  <si>
    <t>border-bottom: 1px solid var(--border2);</t>
  </si>
  <si>
    <t>table tbody tr {</t>
  </si>
  <si>
    <t>/* Compact tables inside modals */</t>
  </si>
  <si>
    <t>.table-compact th,</t>
  </si>
  <si>
    <t>.table-compact td {</t>
  </si>
  <si>
    <t>padding: 8px 12px;</t>
  </si>
  <si>
    <t>font-size: 12.5px;</t>
  </si>
  <si>
    <t>padding: 4px 10px;</t>
  </si>
  <si>
    <t>color: #b45309;</t>
  </si>
  <si>
    <t>border-color: #fcd34d;</t>
  </si>
  <si>
    <t>color: #047857;</t>
  </si>
  <si>
    <t>border-color: #6ee7b7;</t>
  </si>
  <si>
    <t>color: #1d4ed8;</t>
  </si>
  <si>
    <t>color: #b91c1c;</t>
  </si>
  <si>
    <t>.b-OFD {</t>
  </si>
  <si>
    <t>background: #dbeafe;</t>
  </si>
  <si>
    <t>.b-PARTIAL {</t>
  </si>
  <si>
    <t>background: #fef3c7;</t>
  </si>
  <si>
    <t>color: #92400e;</t>
  </si>
  <si>
    <t>.b-SALE,</t>
  </si>
  <si>
    <t>.b-MANUAL_ADJUST,</t>
  </si>
  <si>
    <t>.b-PRODUCTION_PARTIAL {</t>
  </si>
  <si>
    <t>grid-template-columns: repeat(auto-fill, minmax(240px, 1fr));</t>
  </si>
  <si>
    <t>border-radius: 12px;</t>
  </si>
  <si>
    <t>transform: translateY(-4px);</t>
  </si>
  <si>
    <t>box-shadow: 0 0 0 2px var(--blue-s);</t>
  </si>
  <si>
    <t>height: 220px;</t>
  </si>
  <si>
    <t>transition: transform 0.5s ease;</t>
  </si>
  <si>
    <t>.inv-tile:hover .inv-tile-hero img {</t>
  </si>
  <si>
    <t>.hero-placeholder {</t>
  </si>
  <si>
    <t>font-family: 'Outfit', serif;</t>
  </si>
  <si>
    <t>font-size: 56px;</t>
  </si>
  <si>
    <t>padding: 16px 20px 12px;</t>
  </si>
  <si>
    <t>line-height: 1.4;</t>
  </si>
  <si>
    <t>min-height: 42px;</t>
  </si>
  <si>
    <t>margin-top: 6px;</t>
  </si>
  <si>
    <t>padding: 12px 20px 16px;</t>
  </si>
  <si>
    <t>font-size: 26px;</t>
  </si>
  <si>
    <t>transition: transform 0.3s;</t>
  </si>
  <si>
    <t>padding: 10px 4px;</t>
  </si>
  <si>
    <t>border-radius: 8px;</t>
  </si>
  <si>
    <t>opacity: 0.8;</t>
  </si>
  <si>
    <t>padding: 16px 24px;</t>
  </si>
  <si>
    <t>background: rgba(248, 250, 252, 0.5);</t>
  </si>
  <si>
    <t>min-width: 250px;</t>
  </si>
  <si>
    <t>max-width: 400px;</t>
  </si>
  <si>
    <t>left: 14px;</t>
  </si>
  <si>
    <t>padding-left: 40px;</t>
  </si>
  <si>
    <t>padding: 60px;</t>
  </si>
  <si>
    <t>width: 20px;</t>
  </si>
  <si>
    <t>height: 20px;</t>
  </si>
  <si>
    <t>border: 3px solid var(--border2);</t>
  </si>
  <si>
    <t>border-top-color: var(--blue);</t>
  </si>
  <si>
    <t>animation: spin 0.8s linear infinite;</t>
  </si>
  <si>
    <t>padding: 60px 20px;</t>
  </si>
  <si>
    <t>box-shadow: 0 10px 20px rgba(0, 0, 0, 0.1);</t>
  </si>
  <si>
    <t>font-size: 20px;</t>
  </si>
  <si>
    <t>font-size: 32px;</t>
  </si>
  <si>
    <t>padding: 4px;</t>
  </si>
  <si>
    <t>border-radius: var(--r-sm);</t>
  </si>
  <si>
    <t>/* ── MODALS (REFACTORED) ────────────────────────── */</t>
  </si>
  <si>
    <t>.modal-overlay {</t>
  </si>
  <si>
    <t>background: rgba(15, 23, 42, 0.7);</t>
  </si>
  <si>
    <t>backdrop-filter: blur(4px);</t>
  </si>
  <si>
    <t>z-index: 2000;</t>
  </si>
  <si>
    <t>padding: 4vh 16px;</t>
  </si>
  <si>
    <t>.modal-dialog {</t>
  </si>
  <si>
    <t>border-radius: 20px;</t>
  </si>
  <si>
    <t>box-shadow: var(--shadow-floating);</t>
  </si>
  <si>
    <t>margin: 0 auto;</t>
  </si>
  <si>
    <t>.modal-header {</t>
  </si>
  <si>
    <t>padding: 20px 28px;</t>
  </si>
  <si>
    <t>border-radius: 20px 20px 0 0;</t>
  </si>
  <si>
    <t>.modal-close {</t>
  </si>
  <si>
    <t>.modal-close:hover {</t>
  </si>
  <si>
    <t>transform: scale(1.1);</t>
  </si>
  <si>
    <t>.modal-body {</t>
  </si>
  <si>
    <t>padding: 28px;</t>
  </si>
  <si>
    <t>.modal-footer {</t>
  </si>
  <si>
    <t>border-radius: 0 0 20px 20px;</t>
  </si>
  <si>
    <t>top: 24px;</t>
  </si>
  <si>
    <t>right: 24px;</t>
  </si>
  <si>
    <t>z-index: 9999;</t>
  </si>
  <si>
    <t>padding: 14px 20px;</t>
  </si>
  <si>
    <t>animation: tst 0.4s cubic-bezier(0.16, 1, 0.3, 1) forwards;</t>
  </si>
  <si>
    <t>border-left-color: var(--blue);</t>
  </si>
  <si>
    <t>border-left-color: var(--green);</t>
  </si>
  <si>
    <t>border-left-color: var(--red);</t>
  </si>
  <si>
    <t>transform: translateX(20px);</t>
  </si>
  <si>
    <t>&lt;path d="M12 5v14M5 12h14" /&gt;</t>
  </si>
  <si>
    <t>&lt;rect x="2" y="7" width="20" height="14" rx="2" ry="2" /&gt;</t>
  </si>
  <si>
    <t>&lt;path d="M16 21V5a2 2 0 0 0-2-2h-4a2 2 0 0 0-2 2v16" /&gt;</t>
  </si>
  <si>
    <t>&lt;path d="M21.21 15.89A10 10 0 1 1 8 2.83" /&gt;</t>
  </si>
  <si>
    <t>&lt;path d="M22 12A10 10 0 0 0 12 2v10z" /&gt;</t>
  </si>
  <si>
    <t>&lt;path d="M14 2H6a2 2 0 0 0-2 2v16a2 2 0 0 0 2 2h12a2 2 0 0 0 2-2V8z" /&gt;</t>
  </si>
  <si>
    <t>&lt;polyline points="14 2 14 8 20 8" /&gt;</t>
  </si>
  <si>
    <t>&lt;line x1="16" y1="13" x2="8" y2="13" /&gt;</t>
  </si>
  <si>
    <t>&lt;line x1="16" y1="17" x2="8" y2="17" /&gt;</t>
  </si>
  <si>
    <t>&lt;div class="loader"&gt;Loading Dashboard Data...&lt;/div&gt;</t>
  </si>
  <si>
    <t>&lt;button class="btn btn-ghost btn-sm" onclick="loadDashboard()"&gt;Refresh&lt;/button&gt;</t>
  </si>
  <si>
    <t>&lt;div class="loader"&gt;&lt;/div&gt;</t>
  </si>
  <si>
    <t>&lt;div class="card-title"&gt;Low Stock Alerts&lt;/div&gt;&lt;span id="low-count-badge" class="badge b-Pending"&gt;&lt;/span&gt;</t>
  </si>
  <si>
    <t>&lt;button class="btn btn-secondary btn-sm" onclick="downloadOrdersPDF()"&gt;&lt;svg width="14" height="14" fill="none" stroke="currentColor" viewBox="0 0 24 24"&gt;&lt;path stroke-linecap="round" stroke-linejoin="round" stroke-width="2" d="M4 16v1a3 3 0 003 3h10a3 3 0 003-3v-1m-4-4l-3 3m0 0l-3-3m3 3V4"/&gt;&lt;/svg&gt; Export PDF&lt;/button&gt;</t>
  </si>
  <si>
    <t>&lt;div</t>
  </si>
  <si>
    <t>style="display:flex;align-items:center;gap:8px; background: var(--surface); padding: 4px 8px; border-radius: var(--r); border: 1px solid var(--border2);"&gt;</t>
  </si>
  <si>
    <t>&lt;div class="tbl-wrap" id="orders-table"&gt;</t>
  </si>
  <si>
    <t>&lt;th&gt;Size&lt;/th&gt;</t>
  </si>
  <si>
    <t>&lt;th style="text-align:center;"&gt;Current&lt;/th&gt;</t>
  </si>
  <si>
    <t>&lt;th&gt;Adjust Quantity&lt;/th&gt;</t>
  </si>
  <si>
    <t>&lt;th&gt;Preview Result&lt;/th&gt;</t>
  </si>
  <si>
    <t>&lt;div class="card-title"&gt;Register New Product&lt;/div&gt;</t>
  </si>
  <si>
    <t>&lt;div class="field"&gt;&lt;label&gt;Style No. &lt;span class="req"&gt;*&lt;/span&gt;&lt;/label&gt;&lt;input type="text" id="np-style" class="mono" placeholder="e.g. VH-NEW01" oninput="npPreview()"&gt;</t>
  </si>
  <si>
    <t>&lt;div class="field"&gt;&lt;label&gt;Product Name &lt;span class="req"&gt;*&lt;/span&gt;&lt;/label&gt;&lt;input type="text" id="np-name" placeholder="e.g. Premium Linen Shirt" oninput="npPreview()"&gt;</t>
  </si>
  <si>
    <t>&lt;div class="field"&gt;&lt;label&gt;Fabric (Optional)&lt;/label&gt;&lt;input type="text" id="np-fabric" placeholder="e.g. 100% Cotton"&gt;</t>
  </si>
  <si>
    <t>style="display:grid;grid-template-columns:repeat(auto-fit,minmax(120px,1fr));gap:16px;margin-bottom:16px;"&gt;</t>
  </si>
  <si>
    <t>style="font-size:14px;color:var(--ink2);font-weight:500;padding:12px;background:var(--surface2);border-radius:var(--r);"&gt;</t>
  </si>
  <si>
    <t>&lt;button class="btn btn-secondary btn-sm" onclick="downloadProductionPDF()"&gt;&lt;svg width="14" height="14" fill="none" stroke="currentColor" viewBox="0 0 24 24"&gt;&lt;path stroke-linecap="round" stroke-linejoin="round" stroke-width="2" d="M4 16v1a3 3 0 003 3h10a3 3 0 003-3v-1m-4-4l-3 3m0 0l-3-3m3 3V4"/&gt;&lt;/svg&gt; Export PDF&lt;/button&gt;</t>
  </si>
  <si>
    <t>&lt;div class="kpi-grid" id="req-kpi"&gt;</t>
  </si>
  <si>
    <t>style="display:flex;gap:12px;margin-bottom:24px;border-bottom:1px solid var(--border);padding-bottom:12px;"&gt;</t>
  </si>
  <si>
    <t>&lt;div class="card-title"&gt;Issue Fabric for Manufacturing&lt;/div&gt;</t>
  </si>
  <si>
    <t>&lt;div class="field"&gt;&lt;label&gt;Master / Tailor Name *&lt;/label&gt;&lt;input type="text" id="rq-master" placeholder="e.g. Raju Bhai"&gt;</t>
  </si>
  <si>
    <t>&lt;div class="field"&gt;&lt;label&gt;Fabric Name *&lt;/label&gt;&lt;input type="text" id="rq-fabric" placeholder="e.g. Cotton Twill Navy"&gt;</t>
  </si>
  <si>
    <t>&lt;div class="field"&gt;&lt;label&gt;Meters Issued *&lt;/label&gt;&lt;input type="number" id="rq-meters" class="mono" min="0.1" step="0.1" placeholder="e.g. 20"&gt;</t>
  </si>
  <si>
    <t>&lt;div class="field"&gt;&lt;label&gt;Notes / Instructions&lt;/label&gt;&lt;input type="text" id="rq-notes" placeholder="Any special instructions"&gt;</t>
  </si>
  <si>
    <t>&lt;div class="card-body p0" id="req-open-list"&gt;</t>
  </si>
  <si>
    <t>&lt;option value="PARTIAL"&gt;Partially Received&lt;/option&gt;</t>
  </si>
  <si>
    <t>&lt;div class="tbl-wrap" id="req-hist-table"&gt;</t>
  </si>
  <si>
    <t>&lt;div class="card-title"&gt;Loss Analysis &amp; Master Efficiency&lt;/div&gt;</t>
  </si>
  <si>
    <t>&lt;div class="card-body p0" id="req-insights-body"&gt;</t>
  </si>
  <si>
    <t>&lt;!-- REUSABLE MODALS DOM --&gt;</t>
  </si>
  <si>
    <t>&lt;div id="order-detail-modal" class="modal-overlay"&gt;</t>
  </si>
  <si>
    <t>&lt;div class="modal-dialog" style="max-width:900px;"&gt;</t>
  </si>
  <si>
    <t>&lt;div class="modal-header"&gt;</t>
  </si>
  <si>
    <t>&lt;div style="font-weight:600;font-size:18px;"&gt;Order Details&lt;/div&gt;</t>
  </si>
  <si>
    <t>&lt;div class="mono" style="font-size:13px;opacity:.7;margin-top:2px;" id="ord-modal-id"&gt;&lt;/div&gt;</t>
  </si>
  <si>
    <t>&lt;button onclick="closeOrdModal()" class="modal-close"&gt;&amp;times;&lt;/button&gt;</t>
  </si>
  <si>
    <t>&lt;div id="ord-modal-body" class="modal-body"&gt;&lt;/div&gt;</t>
  </si>
  <si>
    <t>&lt;div id="req-recv-modal" class="modal-overlay"&gt;</t>
  </si>
  <si>
    <t>&lt;div class="modal-dialog" style="max-width:1100px;"&gt;</t>
  </si>
  <si>
    <t>&lt;div style="font-weight:600;font-size:18px;"&gt;Receive Goods&lt;/div&gt;</t>
  </si>
  <si>
    <t>&lt;div class="mono" style="font-size:13px;opacity:.7;margin-top:2px;" id="recv-title"&gt;&lt;/div&gt;</t>
  </si>
  <si>
    <t>&lt;button onclick="closeRecvModal()" class="modal-close"&gt;&amp;times;&lt;/button&gt;</t>
  </si>
  <si>
    <t>&lt;div id="recv-body" class="modal-body"&gt;&lt;/div&gt;</t>
  </si>
  <si>
    <t>&lt;div class="modal-footer"&gt;</t>
  </si>
  <si>
    <t>&lt;button class="btn btn-amber" id="recv-partial-btn" onclick="submitPartialReceiveFn()" style="display:none;" disabled&gt;Confirm Partial Receipt&lt;/button&gt;</t>
  </si>
  <si>
    <t>var html='&lt;table class="table-compact"&gt;&lt;thead&gt;&lt;tr&gt;'</t>
  </si>
  <si>
    <t>var statusCls={'Confirmed':'b-Confirmed','Pending':'b-Pending','Cancelled':'b-Cancelled','Delivered':'b-Delivered','Shipped':'b-Shipped','Returned':'b-Returned','Out for Delivery':'b-OFD'};</t>
  </si>
  <si>
    <t>&lt;div style="display:flex;justify-content:space-between;align-items:flex-start;margin-bottom:16px;"&gt;</t>
  </si>
  <si>
    <t>&lt;div style="display:grid;grid-template-columns:1fr 1fr;gap:16px;margin-bottom:16px;"&gt;</t>
  </si>
  <si>
    <t>&lt;div style="background:var(--surface2);padding:12px 16px;border-radius:12px;border:1px solid var(--border);"&gt;</t>
  </si>
  <si>
    <t>&lt;div style="background:var(--amber-l);padding:12px 16px;border-radius:12px;border:1px solid #fef3c7;"&gt;</t>
  </si>
  <si>
    <t>&lt;div style="font-weight:700;font-size:14px;margin-bottom:8px;text-transform:uppercase;letter-spacing:0.05em;color:var(--muted);"&gt;Line Items&lt;/div&gt;</t>
  </si>
  <si>
    <t>&lt;div style="border:1px solid var(--border);border-radius:12px;overflow:hidden;margin-bottom:16px;"&gt;</t>
  </si>
  <si>
    <t>&lt;table class="table-compact" style="margin:0;"&gt;</t>
  </si>
  <si>
    <t>// Status transition buttons</t>
  </si>
  <si>
    <t>var transitions={</t>
  </si>
  <si>
    <t>Pending':['Confirmed','Shipped','Out for Delivery'],</t>
  </si>
  <si>
    <t>Confirmed':['Shipped','Out for Delivery'],</t>
  </si>
  <si>
    <t>Shipped':['Out for Delivery'],</t>
  </si>
  <si>
    <t>Out for Delivery':['Delivered'],</t>
  </si>
  <si>
    <t>Delivered':['Returned'],</t>
  </si>
  <si>
    <t>Cancelled':[],</t>
  </si>
  <si>
    <t>Returned':[]</t>
  </si>
  <si>
    <t>var nextStatuses=transitions[o.status]||[];</t>
  </si>
  <si>
    <t>var canCancel=o.status!=='Cancelled'&amp;&amp;o.status!=='Returned'&amp;&amp;o.status!=='Delivered';</t>
  </si>
  <si>
    <t>if(nextStatuses.length||canCancel){</t>
  </si>
  <si>
    <t>html+=`&lt;div style="margin-top:16px;padding-top:16px;border-top:1px solid var(--border);display:flex;align-items:center;justify-content:space-between;flex-wrap:wrap;gap:12px;"&gt;</t>
  </si>
  <si>
    <t>&lt;div style="font-size:12px;color:var(--muted);font-weight:600;text-transform:uppercase;letter-spacing:0.05em;"&gt;Update Status&lt;/div&gt;</t>
  </si>
  <si>
    <t>&lt;div style="display:flex;gap:10px;flex-wrap:wrap;"&gt;`;</t>
  </si>
  <si>
    <t>for(var t=0;t&lt;nextStatuses.length;t++){</t>
  </si>
  <si>
    <t>var ns=nextStatuses[t];</t>
  </si>
  <si>
    <t>var btnCls=ns==='Delivered'?'btn-success':ns==='Returned'?'btn-danger-soft':'btn-secondary';</t>
  </si>
  <si>
    <t>html+=`&lt;button class="btn ${btnCls}" onclick="updateOrdStatus('${o.order_id}','${ns}')"&gt;Mark as ${ns}&lt;/button&gt;`;</t>
  </si>
  <si>
    <t>if(canCancel){</t>
  </si>
  <si>
    <t>html+=`&lt;button class="btn btn-danger-soft" onclick="cancelOrd('${o.order_id}');closeOrdModal();"&gt;Cancel Order&lt;/button&gt;`;</t>
  </si>
  <si>
    <t>html+=`&lt;/div&gt;&lt;/div&gt;`;</t>
  </si>
  <si>
    <t>function updateOrdStatus(id,newStatus){</t>
  </si>
  <si>
    <t>if(!confirm('Update order '+id+' to "'+newStatus+'"?'))return;</t>
  </si>
  <si>
    <t>toast('Order updated: '+r.old_status+' → '+r.new_status,'success');</t>
  </si>
  <si>
    <t>closeOrdModal();loadOrders();</t>
  </si>
  <si>
    <t>} else toast(r.error||'Update failed','error');</t>
  </si>
  <si>
    <t>.updateOrderStatus(id,newStatus);</t>
  </si>
  <si>
    <t>document.getElementById('mov-table').innerHTML=`&lt;table class="table-compact"&gt;</t>
  </si>
  <si>
    <t>S.prod.filtered = rows; // Store filtered data globally for PDF extraction</t>
  </si>
  <si>
    <t>var html = '&lt;table class="table-compact"&gt;&lt;thead style="background:var(--surface2);"&gt;&lt;tr&gt;'</t>
  </si>
  <si>
    <t>// PDF GENERATION (jsPDF + autoTable)</t>
  </si>
  <si>
    <t>function downloadOrdersPDF() {</t>
  </si>
  <si>
    <t>if (!window.jspdf || !window.jspdf.jsPDF) {</t>
  </si>
  <si>
    <t>toast('PDF library is loading, please wait a moment.', 'info');</t>
  </si>
  <si>
    <t>const orders = S.ord.filtered || [];</t>
  </si>
  <si>
    <t>if (!orders.length) {</t>
  </si>
  <si>
    <t>toast('No orders matching current filters to export.', 'error');</t>
  </si>
  <si>
    <t>toast('Generating PDF...', 'info');</t>
  </si>
  <si>
    <t>const { jsPDF } = window.jspdf;</t>
  </si>
  <si>
    <t>const doc = new jsPDF('landscape'); // Landscape to fit all columns without overlapping</t>
  </si>
  <si>
    <t>doc.setFontSize(18);</t>
  </si>
  <si>
    <t>doc.setTextColor(15, 23, 42); // --ink color</t>
  </si>
  <si>
    <t>doc.text('Order History Report', 14, 18);</t>
  </si>
  <si>
    <t>doc.setFontSize(10);</t>
  </si>
  <si>
    <t>doc.setTextColor(100, 116, 139); // --muted color</t>
  </si>
  <si>
    <t>doc.text(`Generated on: ${new Date().toLocaleString()}`, 14, 25);</t>
  </si>
  <si>
    <t>// Extract and format all non-paginated, filtered orders</t>
  </si>
  <si>
    <t>const tableData = orders.map(o =&gt; {</t>
  </si>
  <si>
    <t>// Linebreak array of products for clean wrapping in the cell</t>
  </si>
  <si>
    <t>const productsList = o.items.map(it =&gt; `${it.style_no} - ${it.product_name} (Size ${it.size}: ${it.quantity})`).join('\n');</t>
  </si>
  <si>
    <t>return [</t>
  </si>
  <si>
    <t>o.order_date,</t>
  </si>
  <si>
    <t>o.order_id,</t>
  </si>
  <si>
    <t>o.channel,</t>
  </si>
  <si>
    <t>`${o.buyer_name}\n${o.buyer_contact}`,</t>
  </si>
  <si>
    <t>productsList,</t>
  </si>
  <si>
    <t>o.total_quantity,</t>
  </si>
  <si>
    <t>o.status</t>
  </si>
  <si>
    <t>doc.autoTable({</t>
  </si>
  <si>
    <t>startY: 32,</t>
  </si>
  <si>
    <t>head: [['Date', 'Order ID', 'Channel', 'Customer Details', 'Products (Design No, Name, Size, Qty)', 'Total Qty', 'Status']],</t>
  </si>
  <si>
    <t>body: tableData,</t>
  </si>
  <si>
    <t>theme: 'grid',</t>
  </si>
  <si>
    <t>styles: { fontSize: 8.5, cellPadding: 4, overflow: 'linebreak' },</t>
  </si>
  <si>
    <t>headStyles: { fillColor: [9, 9, 11], textColor: 255, fontStyle: 'bold' },</t>
  </si>
  <si>
    <t>alternateRowStyles: { fillColor: [248, 250, 252] },</t>
  </si>
  <si>
    <t>columnStyles: {</t>
  </si>
  <si>
    <t>0: { cellWidth: 25 },</t>
  </si>
  <si>
    <t>1: { cellWidth: 35 },</t>
  </si>
  <si>
    <t>2: { cellWidth: 25 },</t>
  </si>
  <si>
    <t>3: { cellWidth: 45 },</t>
  </si>
  <si>
    <t>4: { cellWidth: 'auto' }, // Automatically fills remaining space to prevent overlapping</t>
  </si>
  <si>
    <t>5: { cellWidth: 20, halign: 'center', fontStyle: 'bold' },</t>
  </si>
  <si>
    <t>6: { cellWidth: 25 }</t>
  </si>
  <si>
    <t>},</t>
  </si>
  <si>
    <t>didDrawPage: function (data) {</t>
  </si>
  <si>
    <t>doc.setFontSize(8);</t>
  </si>
  <si>
    <t>doc.setTextColor(150);</t>
  </si>
  <si>
    <t>doc.text(`Page ${doc.internal.getNumberOfPages()}`, data.settings.margin.left, doc.internal.pageSize.height - 10);</t>
  </si>
  <si>
    <t>doc.save('Orders_Report.pdf');</t>
  </si>
  <si>
    <t>function downloadProductionPDF() {</t>
  </si>
  <si>
    <t>var products = S.prod.filtered || [];</t>
  </si>
  <si>
    <t>if (!products.length) {</t>
  </si>
  <si>
    <t>toast('No production data matching filters to export.', 'error');</t>
  </si>
  <si>
    <t>// Step 1: Collect all unique image IDs</t>
  </si>
  <si>
    <t>var imageIds = [];</t>
  </si>
  <si>
    <t>for (var i = 0; i &lt; products.length; i++) {</t>
  </si>
  <si>
    <t>if (products[i].image_id &amp;&amp; imageIds.indexOf(products[i].image_id) &lt; 0) {</t>
  </si>
  <si>
    <t>imageIds.push(products[i].image_id);</t>
  </si>
  <si>
    <t>if (!imageIds.length) {</t>
  </si>
  <si>
    <t>// No images — generate PDF directly</t>
  </si>
  <si>
    <t>_buildProductionPDF(products, {});</t>
  </si>
  <si>
    <t>toast('Fetching ' + imageIds.length + ' product images...', 'info');</t>
  </si>
  <si>
    <t>// Step 2: Fetch images from backend as base64</t>
  </si>
  <si>
    <t>.withSuccessHandler(function(imageDataMap) {</t>
  </si>
  <si>
    <t>// Step 3: Convert base64 data URIs to Image objects for jsPDF</t>
  </si>
  <si>
    <t>var imgCache = imageDataMap || {};</t>
  </si>
  <si>
    <t>var loadQueue = Object.keys(imgCache);</t>
  </si>
  <si>
    <t>if (!loadQueue.length) {</t>
  </si>
  <si>
    <t>toast('Preparing ' + loadQueue.length + ' images for PDF...', 'info');</t>
  </si>
  <si>
    <t>var jspdfImages = {};</t>
  </si>
  <si>
    <t>var loaded = 0;</t>
  </si>
  <si>
    <t>for (var k = 0; k &lt; loadQueue.length; k++) {</t>
  </si>
  <si>
    <t>(function(fileId) {</t>
  </si>
  <si>
    <t>img.onload = function() {</t>
  </si>
  <si>
    <t>// Resize to small thumbnail via canvas for PDF efficiency</t>
  </si>
  <si>
    <t>var canvas = document.createElement('canvas');</t>
  </si>
  <si>
    <t>var maxDim = 80;</t>
  </si>
  <si>
    <t>if (w &gt;= h &amp;&amp; w &gt; maxDim) { h = Math.round(h * maxDim / w); w = maxDim; }</t>
  </si>
  <si>
    <t>else if (h &gt; maxDim) { w = Math.round(w * maxDim / h); h = maxDim; }</t>
  </si>
  <si>
    <t>canvas.width = w; canvas.height = h;</t>
  </si>
  <si>
    <t>var ctx = canvas.getContext('2d');</t>
  </si>
  <si>
    <t>ctx.fillStyle = '#ffffff';</t>
  </si>
  <si>
    <t>ctx.fillRect(0, 0, w, h);</t>
  </si>
  <si>
    <t>ctx.drawImage(img, 0, 0, w, h);</t>
  </si>
  <si>
    <t>jspdfImages[fileId] = canvas.toDataURL('image/jpeg', 0.75);</t>
  </si>
  <si>
    <t>loaded++;</t>
  </si>
  <si>
    <t>if (loaded &gt;= loadQueue.length) _buildProductionPDF(products, jspdfImages);</t>
  </si>
  <si>
    <t>img.onerror = function() {</t>
  </si>
  <si>
    <t>img.src = imgCache[fileId];</t>
  </si>
  <si>
    <t>})(loadQueue[k]);</t>
  </si>
  <si>
    <t>// Safety timeout — don't hang forever</t>
  </si>
  <si>
    <t>setTimeout(function() {</t>
  </si>
  <si>
    <t>if (loaded &lt; loadQueue.length) _buildProductionPDF(products, jspdfImages);</t>
  </si>
  <si>
    <t>}, 15000);</t>
  </si>
  <si>
    <t>.withFailureHandler(function(e) {</t>
  </si>
  <si>
    <t>toast('Could not fetch images: ' + e.message + '. Generating without images.', 'error');</t>
  </si>
  <si>
    <t>.getProductImagesBatch(imageIds);</t>
  </si>
  <si>
    <t>function _buildProductionPDF(products, imageCache) {</t>
  </si>
  <si>
    <t>var jsPDF = window.jspdf.jsPDF;</t>
  </si>
  <si>
    <t>var doc = new jsPDF('portrait');</t>
  </si>
  <si>
    <t>var pageW = doc.internal.pageSize.getWidth();</t>
  </si>
  <si>
    <t>var imgCount = Object.keys(imageCache).length;</t>
  </si>
  <si>
    <t>// ── Title Block ──</t>
  </si>
  <si>
    <t>doc.setFontSize(20);</t>
  </si>
  <si>
    <t>doc.setTextColor(15, 23, 42);</t>
  </si>
  <si>
    <t>doc.text('Production Analytics', 14, 18);</t>
  </si>
  <si>
    <t>doc.setTextColor(100, 116, 139);</t>
  </si>
  <si>
    <t>doc.text('Generated: ' + new Date().toLocaleString(), 14, 25);</t>
  </si>
  <si>
    <t>// Summary line</t>
  </si>
  <si>
    <t>var totalMade = 0, totalSold = 0, totalIH = 0;</t>
  </si>
  <si>
    <t>totalMade += (products[i].manufactured || 0);</t>
  </si>
  <si>
    <t>totalSold += (products[i].sold || 0);</t>
  </si>
  <si>
    <t>totalIH += (products[i].in_hand || 0);</t>
  </si>
  <si>
    <t>doc.setFontSize(9);</t>
  </si>
  <si>
    <t>doc.setTextColor(80, 80, 80);</t>
  </si>
  <si>
    <t>doc.text(products.length + ' products  |  Made: ' + totalMade + '  |  Sold: ' + totalSold + '  |  In Hand: ' + totalIH, 14, 31);</t>
  </si>
  <si>
    <t>// ── Build table data ──</t>
  </si>
  <si>
    <t>var hasAnyImage = imgCount &gt; 0;</t>
  </si>
  <si>
    <t>var imgColW = hasAnyImage ? 18 : 0.1; // tiny if no images</t>
  </si>
  <si>
    <t>var imgCellH = hasAnyImage ? 16 : 8;</t>
  </si>
  <si>
    <t>var tableBody = [];</t>
  </si>
  <si>
    <t>var p = products[i];</t>
  </si>
  <si>
    <t>var row = hasAnyImage</t>
  </si>
  <si>
    <t>? ['', p.style_no, p.product_name, p.manufactured || 0, p.sold || 0, p.in_hand || 0]</t>
  </si>
  <si>
    <t>: [p.style_no, p.product_name, p.manufactured || 0, p.sold || 0, p.in_hand || 0];</t>
  </si>
  <si>
    <t>tableBody.push(row);</t>
  </si>
  <si>
    <t>var headRow = hasAnyImage</t>
  </si>
  <si>
    <t>? ['', 'Design No.', 'Fabric / Product Name', 'Made', 'Sold', 'In Hand']</t>
  </si>
  <si>
    <t>: ['Design No.', 'Fabric / Product Name', 'Made', 'Sold', 'In Hand'];</t>
  </si>
  <si>
    <t>var colStyles = {};</t>
  </si>
  <si>
    <t>if (hasAnyImage) {</t>
  </si>
  <si>
    <t>colStyles = {</t>
  </si>
  <si>
    <t>0: { cellWidth: imgColW, halign: 'center' },</t>
  </si>
  <si>
    <t>1: { cellWidth: 30, fontStyle: 'bold', textColor: [37, 99, 235] },</t>
  </si>
  <si>
    <t>2: { cellWidth: 'auto' },</t>
  </si>
  <si>
    <t>3: { cellWidth: 20, halign: 'right' },</t>
  </si>
  <si>
    <t>4: { cellWidth: 18, halign: 'right' },</t>
  </si>
  <si>
    <t>5: { cellWidth: 22, halign: 'right', fontStyle: 'bold' }</t>
  </si>
  <si>
    <t>0: { cellWidth: 35, fontStyle: 'bold', textColor: [37, 99, 235] },</t>
  </si>
  <si>
    <t>1: { cellWidth: 'auto' },</t>
  </si>
  <si>
    <t>2: { cellWidth: 24, halign: 'right' },</t>
  </si>
  <si>
    <t>4: { cellWidth: 24, halign: 'right', fontStyle: 'bold' }</t>
  </si>
  <si>
    <t>startY: 36,</t>
  </si>
  <si>
    <t>head: [headRow],</t>
  </si>
  <si>
    <t>body: tableBody,</t>
  </si>
  <si>
    <t>styles: {</t>
  </si>
  <si>
    <t>fontSize: 9,</t>
  </si>
  <si>
    <t>cellPadding: { top: 3, right: 4, bottom: 3, left: 4 },</t>
  </si>
  <si>
    <t>overflow: 'linebreak',</t>
  </si>
  <si>
    <t>minCellHeight: imgCellH,</t>
  </si>
  <si>
    <t>valign: 'middle'</t>
  </si>
  <si>
    <t>headStyles: {</t>
  </si>
  <si>
    <t>fillColor: [9, 9, 11],</t>
  </si>
  <si>
    <t>textColor: 255,</t>
  </si>
  <si>
    <t>fontStyle: 'bold',</t>
  </si>
  <si>
    <t>fontSize: 8.5,</t>
  </si>
  <si>
    <t>halign: 'center',</t>
  </si>
  <si>
    <t>minCellHeight: 10</t>
  </si>
  <si>
    <t>columnStyles: colStyles,</t>
  </si>
  <si>
    <t>// ── Draw images into cells ──</t>
  </si>
  <si>
    <t>didDrawCell: function(data) {</t>
  </si>
  <si>
    <t>if (!hasAnyImage) return;</t>
  </si>
  <si>
    <t>if (data.section !== 'body' || data.column.index !== 0) return;</t>
  </si>
  <si>
    <t>var p = products[data.row.index];</t>
  </si>
  <si>
    <t>if (!p || !p.image_id) return;</t>
  </si>
  <si>
    <t>var imgData = imageCache[p.image_id];</t>
  </si>
  <si>
    <t>if (!imgData) return;</t>
  </si>
  <si>
    <t>try {</t>
  </si>
  <si>
    <t>var dim = Math.min(data.cell.width - 2, data.cell.height - 2, 14);</t>
  </si>
  <si>
    <t>var x = data.cell.x + (data.cell.width - dim) / 2;</t>
  </si>
  <si>
    <t>var y = data.cell.y + (data.cell.height - dim) / 2;</t>
  </si>
  <si>
    <t>doc.addImage(imgData, 'JPEG', x, y, dim, dim);</t>
  </si>
  <si>
    <t>} catch (e) {</t>
  </si>
  <si>
    <t>// Skip if image is corrupted</t>
  </si>
  <si>
    <t>// ── Page footer ──</t>
  </si>
  <si>
    <t>didDrawPage: function(data) {</t>
  </si>
  <si>
    <t>var pageNum = doc.internal.getNumberOfPages();</t>
  </si>
  <si>
    <t>doc.text('Page ' + pageNum, data.settings.margin.left, doc.internal.pageSize.height - 10);</t>
  </si>
  <si>
    <t>doc.text('VHAGAR Operating System', pageW - data.settings.margin.right, doc.internal.pageSize.height - 10, { align: 'right' });</t>
  </si>
  <si>
    <t>doc.save('Production_Analytics_Report.pdf');</t>
  </si>
  <si>
    <t>toast('PDF exported with ' + imgCount + ' images (' + products.length + ' products)', 'success');</t>
  </si>
  <si>
    <t>S.req.openReqs=(reqs||[]).filter(function(r){return r.status==='OPEN'||r.status==='PARTIAL';});</t>
  </si>
  <si>
    <t>.getRequisitions({});</t>
  </si>
  <si>
    <t>var isPartial=r.status==='PARTIAL';</t>
  </si>
  <si>
    <t>var prevTotal=it.act_total||0;</t>
  </si>
  <si>
    <t>var szHtml=sizes.map(function(sz){</t>
  </si>
  <si>
    <t>var est=it.estimates[sz]||0;</t>
  </si>
  <si>
    <t>var got=(it.actuals&amp;&amp;it.actuals[sz])||0;</t>
  </si>
  <si>
    <t>if(isPartial){</t>
  </si>
  <si>
    <t>return `&lt;span class="mono" style="font-size:12px;margin-right:12px;display:inline-block;"&gt;${sz}: &lt;span style="font-weight:600;color:var(--green);"&gt;${got}&lt;/span&gt;&lt;span style="opacity:.5;"&gt;/${est}&lt;/span&gt;&lt;/span&gt;`;</t>
  </si>
  <si>
    <t>return `&lt;span class="mono" style="font-size:12px;margin-right:12px;display:inline-block;"&gt;${sz}: &lt;span style="font-weight:600;color:var(--ink);"&gt;${est}&lt;/span&gt;&lt;/span&gt;`;</t>
  </si>
  <si>
    <t>var progressHtml='';</t>
  </si>
  <si>
    <t>if(isPartial &amp;&amp; it.est_total&gt;0){</t>
  </si>
  <si>
    <t>var pct=Math.min(100,Math.round(prevTotal/it.est_total*100));</t>
  </si>
  <si>
    <t>progressHtml=`&lt;div style="margin-top:8px;display:flex;align-items:center;gap:10px;"&gt;</t>
  </si>
  <si>
    <t>&lt;div style="flex:1;height:6px;background:var(--surface2);border-radius:var(--r-pill);overflow:hidden;"&gt;</t>
  </si>
  <si>
    <t>&lt;div style="height:100%;width:${pct}%;background:var(--green);border-radius:var(--r-pill);transition:width 0.5s;"&gt;&lt;/div&gt;</t>
  </si>
  <si>
    <t>&lt;span class="mono" style="font-size:12px;font-weight:600;color:var(--green);"&gt;${prevTotal}/${it.est_total} received (${pct}%)&lt;/span&gt;</t>
  </si>
  <si>
    <t>&lt;span class="mono" style="font-weight:700;color:${isPartial?'var(--green)':'var(--amber)'};background:${isPartial?'var(--green-s)':'var(--amber-l)'};padding:4px 10px;border-radius:var(--r-pill);font-size:13px;"&gt;${isPartial?prevTotal+' of '+it.est_total+' received':it.est_total+' projected'}&lt;/span&gt;</t>
  </si>
  <si>
    <t>${progressHtml}</t>
  </si>
  <si>
    <t>var badgeHtml=isPartial</t>
  </si>
  <si>
    <t>?'&lt;span class="badge b-PARTIAL"&gt;PARTIALLY RECEIVED&lt;/span&gt;'</t>
  </si>
  <si>
    <t>:'&lt;span class="badge b-Pending"&gt;IN PROGRESS&lt;/span&gt;';</t>
  </si>
  <si>
    <t>return `&lt;div style="border:1px solid ${isPartial?'var(--amber)':'var(--border)'};border-radius:16px;margin:20px;overflow:hidden;box-shadow:var(--shadow-sm);"&gt;</t>
  </si>
  <si>
    <t>${badgeHtml}</t>
  </si>
  <si>
    <t>&lt;button class="btn btn-amber" onclick="openRecvModal('${r.req_id}','partial')"&gt;Partially Receive&lt;/button&gt;</t>
  </si>
  <si>
    <t>&lt;button class="btn btn-primary" onclick="openRecvModal('${r.req_id}','final')"&gt;Receive Goods (Final)&lt;/button&gt;</t>
  </si>
  <si>
    <t>var _recvMode='final'; // 'partial' or 'final'</t>
  </si>
  <si>
    <t>function openRecvModal(reqId,mode){</t>
  </si>
  <si>
    <t>_recvMode=mode||'final';</t>
  </si>
  <si>
    <t>var isPartial=_recvMode==='partial';</t>
  </si>
  <si>
    <t>var isFinal=_recvMode==='final';</t>
  </si>
  <si>
    <t>// Update modal header</t>
  </si>
  <si>
    <t>document.getElementById('recv-title').textContent=reqId+(isPartial?' — Partial Receipt':' — Final Receipt');</t>
  </si>
  <si>
    <t>// Show/hide appropriate submit buttons</t>
  </si>
  <si>
    <t>document.getElementById('recv-partial-btn').style.display=isPartial?'':'none';</t>
  </si>
  <si>
    <t>document.getElementById('recv-submit-btn').style.display=isFinal?'':'none';</t>
  </si>
  <si>
    <t>var html=`&lt;div style="background:var(--surface2);border-radius:12px;padding:12px 16px;margin-bottom:20px;border:1px solid var(--border);"&gt;</t>
  </si>
  <si>
    <t>${isPartial?'&lt;div style="margin-top:8px;font-size:13px;color:var(--amber);font-weight:600;"&gt;Partial Receipt — enter quantities received in this batch only. Requisition will remain open for future receipts.&lt;/div&gt;':''}</t>
  </si>
  <si>
    <t>${isFinal?'&lt;div style="margin-top:8px;font-size:13px;color:var(--ink2);font-weight:600;"&gt;Final Receipt — this will close the requisition. Any shortage must be reconciled.&lt;/div&gt;':''}</t>
  </si>
  <si>
    <t>var prevRecvTotal=it.act_total||0;</t>
  </si>
  <si>
    <t>var hasPrev=prevRecvTotal&gt;0;</t>
  </si>
  <si>
    <t>html+=`&lt;div style="border:1px solid var(--border);border-radius:16px;margin-bottom:20px;overflow:hidden;" id="recv-card-${it.line_no}"&gt;</t>
  </si>
  <si>
    <t>&lt;div style="background:var(--surface2);padding:12px 20px;border-bottom:1px solid var(--border);display:flex;justify-content:space-between;align-items:center;"&gt;</t>
  </si>
  <si>
    <t>// Show previously received section if this is a PARTIAL req</t>
  </si>
  <si>
    <t>if(hasPrev){</t>
  </si>
  <si>
    <t>html+=`&lt;div style="padding:12px 20px;background:var(--green-s);border-bottom:1px solid var(--border);"&gt;</t>
  </si>
  <si>
    <t>&lt;div style="font-weight:600;font-size:13px;margin-bottom:8px;color:var(--green);"&gt;Previously Received: ${prevRecvTotal} units&lt;/div&gt;</t>
  </si>
  <si>
    <t>&lt;div style="display:grid;grid-template-columns:repeat(6, 1fr);gap:12px;"&gt;`;</t>
  </si>
  <si>
    <t>var prevVal=(it.actuals&amp;&amp;it.actuals[sizes[s]])||0;</t>
  </si>
  <si>
    <t>html+=`&lt;div style="text-align:center;"&gt;</t>
  </si>
  <si>
    <t>&lt;div style="font-size:11px;color:var(--green);font-weight:600;"&gt;${sizes[s]}&lt;/div&gt;</t>
  </si>
  <si>
    <t>&lt;div class="mono" style="font-size:14px;font-weight:700;color:var(--green);"&gt;${prevVal}&lt;/div&gt;</t>
  </si>
  <si>
    <t>html+=`&lt;div style="padding:16px 20px;"&gt;</t>
  </si>
  <si>
    <t>&lt;div style="font-weight:600;font-size:13px;margin-bottom:12px;color:var(--ink);"&gt;${isPartial?'Enter quantities received in this batch':'1. Input verified finished goods'+(hasPrev?' (this batch only)':'')}&lt;/div&gt;</t>
  </si>
  <si>
    <t>&lt;div style="display:grid;grid-template-columns:repeat(6, 1fr);gap:12px;margin-bottom:12px;"&gt;`;</t>
  </si>
  <si>
    <t>var prevVal2=(it.actuals&amp;&amp;it.actuals[sizes[s]])||0;</t>
  </si>
  <si>
    <t>var remaining=Math.max(0,estVal-prevVal2);</t>
  </si>
  <si>
    <t>var placeholder=hasPrev?remaining:estVal;</t>
  </si>
  <si>
    <t>html+=`&lt;div style="min-width:0;"&gt;</t>
  </si>
  <si>
    <t>&lt;div style="font-size:11px;color:var(--muted);font-weight:600;margin-bottom:6px;text-align:center;"&gt;${sizes[s]} &lt;span style="opacity:.6;font-weight:400;"&gt;(${hasPrev?'rem:'+remaining:'est:'+estVal})&lt;/span&gt;&lt;/div&gt;</t>
  </si>
  <si>
    <t>&lt;input type="number" class="mono" min="0" value="${isPartial?'':placeholder}" placeholder="0" style="width:100%;text-align:center;font-size:15px;font-weight:700;padding:8px 4px;" id="recv-act-${it.line_no}-${sizes[s]}" oninput="recvCalcLine(${it.line_no})"&gt;</t>
  </si>
  <si>
    <t>&lt;div id="recv-calc-${it.line_no}" style="padding:12px 16px;border-radius:8px;font-size:13px;font-weight:500;transition:var(--trans);"&gt;&lt;/div&gt;`;</t>
  </si>
  <si>
    <t>// Loss reconciliation section — only for FINAL mode</t>
  </si>
  <si>
    <t>if(isFinal){</t>
  </si>
  <si>
    <t>html+=`&lt;div id="recv-loss-wrap-${it.line_no}" style="display:none;margin-top:20px;border-top:1px dashed var(--border);padding-top:20px;animation:slideUpFade 0.2s ease;"&gt;</t>
  </si>
  <si>
    <t>&lt;div style="font-weight:600;font-size:13px;margin-bottom:12px;color:var(--red);"&gt;2. Reconcile missing pieces&lt;/div&gt;</t>
  </si>
  <si>
    <t>{key:'fabric_shortage',label:'Fabric Short',hint:'Yield lower'},</t>
  </si>
  <si>
    <t>{key:'cutting_waste',label:'Cut Waste',hint:'Unusable fragments'},</t>
  </si>
  <si>
    <t>{key:'master_error',label:'Master Error',hint:'Sizing faults'},</t>
  </si>
  <si>
    <t>{key:'other_loss',label:'Other',hint:'Explanation needed'}</t>
  </si>
  <si>
    <t>html+=`&lt;div style="background:var(--surface2);padding:8px;border-radius:var(--r);border:1px solid transparent;min-width:0;"&gt;</t>
  </si>
  <si>
    <t>&lt;div style="font-size:11px;font-weight:600;color:var(--ink2);margin-bottom:6px;text-align:center;white-space:nowrap;overflow:hidden;text-overflow:ellipsis;"&gt;${reasons[k].label}&lt;/div&gt;</t>
  </si>
  <si>
    <t>&lt;input type="number" class="mono" min="0" value="0" style="width:100%;font-size:14px;font-weight:600;text-align:center;padding:6px 4px;" id="recv-${reasons[k].key}-${it.line_no}" oninput="recvCalcLine(${it.line_no})"&gt;</t>
  </si>
  <si>
    <t>&lt;div id="recv-other-note-wrap-${it.line_no}" style="display:none;margin-top:12px;animation:slideUpFade 0.2s ease;"&gt;</t>
  </si>
  <si>
    <t>&lt;input type="text" id="recv-other-note-${it.line_no}" placeholder="E.g., Transit theft, localized flooding..." oninput="recvCalcLine(${it.line_no})" style="border-color:var(--red);padding:8px 12px;"&gt;&lt;/div&gt;</t>
  </si>
  <si>
    <t>&lt;div id="recv-loss-status-${it.line_no}" style="margin-top:12px;padding:10px 16px;border-radius:8px;font-size:12px;font-weight:600;font-family:'JetBrains Mono',monospace;"&gt;&lt;/div&gt;</t>
  </si>
  <si>
    <t>html+=`&lt;div class="field" style="margin-top:16px;"&gt;&lt;label&gt;Delivery Ledger Notes (Optional)&lt;/label&gt;&lt;input type="text" id="recv-notes" placeholder="Invoice refs or general remarks" style="padding:10px 14px;"&gt;&lt;/div&gt;`;</t>
  </si>
  <si>
    <t>// "This batch" quantities from inputs</t>
  </si>
  <si>
    <t>var thisBatchTotal=0;</t>
  </si>
  <si>
    <t>thisBatchTotal+=Number(el?el.value:0)||0;</t>
  </si>
  <si>
    <t>// Previously received quantities</t>
  </si>
  <si>
    <t>// Cumulative total</t>
  </si>
  <si>
    <t>var cumulativeTotal=prevTotal+thisBatchTotal;</t>
  </si>
  <si>
    <t>var gap=it.est_total-cumulativeTotal;</t>
  </si>
  <si>
    <t>// Partial mode — no loss reconciliation</t>
  </si>
  <si>
    <t>if(thisBatchTotal===0){</t>
  </si>
  <si>
    <t>calcEl.style.background='var(--surface2)';calcEl.style.color='var(--muted)';</t>
  </si>
  <si>
    <t>calcEl.innerHTML='Enter quantities to receive in this batch.';</t>
  </si>
  <si>
    <t>} else if(gap&lt;0){</t>
  </si>
  <si>
    <t>calcEl.innerHTML=`This batch: &lt;strong&gt;${thisBatchTotal}&lt;/strong&gt; units. Cumulative: &lt;strong&gt;${cumulativeTotal}&lt;/strong&gt; (surplus of &lt;strong&gt;${Math.abs(gap)}&lt;/strong&gt; over estimate).`;</t>
  </si>
  <si>
    <t>calcEl.innerHTML=`This batch: &lt;strong&gt;${thisBatchTotal}&lt;/strong&gt; units. Cumulative: &lt;strong&gt;${cumulativeTotal}&lt;/strong&gt; — matches estimate exactly. Consider using Final Receive instead.`;</t>
  </si>
  <si>
    <t>calcEl.innerHTML=`This batch: &lt;strong&gt;${thisBatchTotal}&lt;/strong&gt; units. Cumulative: &lt;strong&gt;${cumulativeTotal}&lt;/strong&gt; of &lt;strong&gt;${it.est_total}&lt;/strong&gt; estimated. &lt;strong&gt;${gap}&lt;/strong&gt; still pending.`;</t>
  </si>
  <si>
    <t>// Final mode — with loss reconciliation</t>
  </si>
  <si>
    <t>calcEl.innerHTML=`${prevTotal&gt;0?'This batch: &lt;strong&gt;'+thisBatchTotal+'&lt;/strong&gt;. ':''}Total received: &lt;strong&gt;${cumulativeTotal}&lt;/strong&gt;. Surplus of &lt;strong&gt;${Math.abs(gap)}&lt;/strong&gt; over estimate.`;</t>
  </si>
  <si>
    <t>if(lossWrap) lossWrap.style.display='none';</t>
  </si>
  <si>
    <t>calcEl.innerHTML=`✓ ${prevTotal&gt;0?'This batch: &lt;strong&gt;'+thisBatchTotal+'&lt;/strong&gt;. ':''}Total received: &lt;strong&gt;${cumulativeTotal}&lt;/strong&gt; — exact match.`;</t>
  </si>
  <si>
    <t>calcEl.innerHTML=`${prevTotal&gt;0?'This batch: &lt;strong&gt;'+thisBatchTotal+'&lt;/strong&gt;. ':''}Total received: &lt;strong&gt;${cumulativeTotal}&lt;/strong&gt;. Deficit of &lt;strong style="color:var(--red);"&gt;${gap} units&lt;/strong&gt; — reconcile below.`;</t>
  </si>
  <si>
    <t>if(lossWrap) lossWrap.style.display='block';</t>
  </si>
  <si>
    <t>// Loss reconciliation validation (final mode only)</t>
  </si>
  <si>
    <t>// Global validation across all items</t>
  </si>
  <si>
    <t>// For partial: just need at least one qty &gt; 0 across all items</t>
  </si>
  <si>
    <t>// (validated at submit time, always enable button if any qty entered)</t>
  </si>
  <si>
    <t>// For final: validate loss reconciliation</t>
  </si>
  <si>
    <t>var prevT2=it2.act_total||0;</t>
  </si>
  <si>
    <t>var cumT2=prevT2+a;</t>
  </si>
  <si>
    <t>var g=it2.est_total-cumT2;</t>
  </si>
  <si>
    <t>var l=0;var otherV2=0;</t>
  </si>
  <si>
    <t>totalLoss2+=l;</t>
  </si>
  <si>
    <t>totalAct+=a;</t>
  </si>
  <si>
    <t>allGood=totalAct&gt;0;</t>
  </si>
  <si>
    <t>document.getElementById('recv-summary').innerHTML=totalAct&gt;0</t>
  </si>
  <si>
    <t>?`&lt;span style="color:var(--green);"&gt;${totalAct}&lt;/span&gt; units to add to inventory this batch`</t>
  </si>
  <si>
    <t>:'Enter quantities to receive';</t>
  </si>
  <si>
    <t>document.getElementById('recv-partial-btn').disabled=!allGood;</t>
  </si>
  <si>
    <t>function submitPartialReceiveFn(){</t>
  </si>
  <si>
    <t>items.push({line_no:it.line_no,actuals:actuals});</t>
  </si>
  <si>
    <t>var btn=document.getElementById('recv-partial-btn');btn.disabled=true;btn.textContent='Processing partial receipt...';</t>
  </si>
  <si>
    <t>btn.disabled=false;btn.textContent='Confirm Partial Receipt';</t>
  </si>
  <si>
    <t>toast('Partial receipt logged. '+r.total_added+' units added to inventory.','success');</t>
  </si>
  <si>
    <t>} else toast(r.error||'Partial receipt failed','error');</t>
  </si>
  <si>
    <t>.withFailureHandler(function(e){btn.disabled=false;btn.textContent='Confirm Partial Receipt';toast('Network Fault: '+e.message,'error');})</t>
  </si>
  <si>
    <t>.partialReceiveRequisition({req_id:_recvReq.req_id,items:items,notes:notes});</t>
  </si>
  <si>
    <t>var statusCls={'OPEN':'b-Pending','RECEIVED':'b-Confirmed','CANCELLED':'b-Cancelled','PARTIAL':'b-PARTIAL'};</t>
  </si>
  <si>
    <t>var html='&lt;table class="table-compact"&gt;&lt;thead style="background:var(--surface2);"&gt;&lt;tr&gt;&lt;th style="width:120px;"&gt;Req ID&lt;/th&gt;&lt;th&gt;Master&lt;/th&gt;&lt;th&gt;Fabric&lt;/th&gt;&lt;th style="text-align:right;"&gt;Meters&lt;/th&gt;&lt;th&gt;Styles Output&lt;/th&gt;&lt;th style="text-align:right;"&gt;Est Yield&lt;/th&gt;&lt;th style="text-align:right;"&gt;Act Yield&lt;/th&gt;&lt;th style="text-align:right;"&gt;Shrink/Loss&lt;/th&gt;&lt;th style="width:100px;"&gt;Status&lt;/th&gt;&lt;th style="width:100px;"&gt;Date&lt;/th&gt;&lt;th style="width:30px;"&gt;&lt;/th&gt;&lt;/tr&gt;&lt;/thead&gt;&lt;tbody&gt;';</t>
  </si>
  <si>
    <t>&lt;td style="font-size:12px;"&gt;${esc(r.fabric_name)}&lt;/td&gt;</t>
  </si>
  <si>
    <t>&lt;td class="mono" style="font-size:11px;max-width:180px;overflow:hidden;text-overflow:ellipsis;white-space:nowrap;color:var(--muted);"&gt;${esc(styles)}&lt;/td&gt;</t>
  </si>
  <si>
    <t>&lt;td class="mono" style="font-size:11px;color:var(--muted);"&gt;${r.created_at.split(' ')[0]}&lt;/td&gt;</t>
  </si>
  <si>
    <t>var html=`&lt;div style="display:flex;justify-content:space-between;align-items:flex-start;margin-bottom:16px;"&gt;</t>
  </si>
  <si>
    <t>html+=`&lt;div style="display:grid;grid-template-columns:repeat(3,1fr);gap:12px;margin-bottom:16px;"&gt;</t>
  </si>
  <si>
    <t>&lt;div style="background:var(--surface2);padding:12px;border-radius:12px;border:1px solid var(--border);"&gt;</t>
  </si>
  <si>
    <t>html+=`&lt;div style="display:grid;grid-template-columns:repeat(4,1fr);gap:12px;margin-bottom:24px;"&gt;</t>
  </si>
  <si>
    <t>&lt;div style="text-align:center;padding:12px;background:var(--amber-s);border-radius:12px;"&gt;&lt;div style="font-size:11px;color:var(--muted);text-transform:uppercase;font-weight:600;"&gt;Projected&lt;/div&gt;&lt;div class="mono" style="font-size:22px;font-weight:700;color:var(--amber);margin-top:4px;"&gt;${r.est_total}&lt;/div&gt;&lt;/div&gt;</t>
  </si>
  <si>
    <t>&lt;div style="text-align:center;padding:12px;background:var(--green-s);border-radius:12px;"&gt;&lt;div style="font-size:11px;color:var(--muted);text-transform:uppercase;font-weight:600;"&gt;Verified&lt;/div&gt;&lt;div class="mono" style="font-size:22px;font-weight:700;color:var(--green);margin-top:4px;"&gt;${r.act_total}&lt;/div&gt;&lt;/div&gt;</t>
  </si>
  <si>
    <t>&lt;div style="text-align:center;padding:12px;background:var(--red-s);border-radius:12px;"&gt;&lt;div style="font-size:11px;color:var(--muted);text-transform:uppercase;font-weight:600;"&gt;Deficit&lt;/div&gt;&lt;div class="mono" style="font-size:22px;font-weight:700;color:var(--red);margin-top:4px;"&gt;${r.total_loss}&lt;/div&gt;&lt;/div&gt;</t>
  </si>
  <si>
    <t>&lt;div style="text-align:center;padding:12px;background:var(--surface2);border-radius:12px;border:1px solid var(--border);"&gt;&lt;div style="font-size:11px;color:var(--muted);text-transform:uppercase;font-weight:600;"&gt;Efficiency&lt;/div&gt;&lt;div class="mono" style="font-size:22px;font-weight:700;color:${effColor};margin-top:4px;"&gt;${eff}%&lt;/div&gt;&lt;/div&gt;</t>
  </si>
  <si>
    <t>html+=`&lt;div style="border:1px solid var(--border);border-radius:12px;margin-bottom:12px;overflow:hidden;"&gt;</t>
  </si>
  <si>
    <t>&lt;div style="background:var(--surface-hover);padding:10px 16px;display:flex;justify-content:space-between;align-items:center;border-bottom:1px solid var(--border);"&gt;</t>
  </si>
  <si>
    <t>&lt;div style="padding:12px 16px;"&gt;</t>
  </si>
  <si>
    <t>&lt;table class="table-compact" style="margin:0;font-size:12.5px;"&gt;</t>
  </si>
  <si>
    <t>&lt;tr&gt;&lt;th&gt;Metrics&lt;/th&gt;${sizes.map(s=&gt;`&lt;th style="text-align:center;"&gt;${s}&lt;/th&gt;`).join('')}&lt;th style="text-align:right;font-weight:700;"&gt;Sum&lt;/th&gt;&lt;/tr&gt;</t>
  </si>
  <si>
    <t>{label:'Cut Waste',val:it.cutting_waste,color:'#ea580c'},</t>
  </si>
  <si>
    <t>html+=`&lt;div style="margin-top:16px;padding:12px;background:var(--surface2);border:1px solid var(--border);border-radius:8px;"&gt;</t>
  </si>
  <si>
    <t>&lt;div style="font-weight:600;font-size:11px;color:var(--ink2);margin-bottom:8px;text-transform:uppercase;letter-spacing:0.05em;"&gt;Deficit Diagnostics (${it.total_loss} units)&lt;/div&gt;</t>
  </si>
  <si>
    <t>&lt;div style="display:flex;height:10px;border-radius:var(--r-pill);overflow:hidden;margin-bottom:8px;"&gt;`;</t>
  </si>
  <si>
    <t>html+='&lt;/div&gt;&lt;div style="display:flex;gap:12px;flex-wrap:wrap;font-size:11px;"&gt;';</t>
  </si>
  <si>
    <t>html+=`&lt;span style="display:flex;align-items:center;gap:4px;font-weight:500;"&gt;&lt;span style="width:6px;height:6px;border-radius:50%;background:${losses[l].color};"&gt;&lt;/span&gt;${losses[l].label} (${losses[l].val})&lt;/span&gt;`;</t>
  </si>
  <si>
    <t>html+=`&lt;div style="margin-top:10px;padding:8px 10px;background:var(--red-s);border:1px dashed #fca5a5;border-radius:6px;font-size:12px;color:#991b1b;"&gt;</t>
  </si>
  <si>
    <t>if(r.notes) html+=`&lt;div style="font-size:12px;color:var(--ink2);background:var(--amber-l);padding:10px 14px;border-radius:8px;margin-bottom:12px;"&gt;&lt;strong&gt;Ledger Remarks:&lt;/strong&gt; ${esc(r.notes)}&lt;/div&gt;`;</t>
  </si>
  <si>
    <t>if(r.received_at) html+=`&lt;div style="font-size:11px;color:var(--muted);"&gt;Reconciled on ${r.received_at} by &lt;strong&gt;${esc(r.received_by)}&lt;/strong&gt;&lt;/div&gt;`;</t>
  </si>
  <si>
    <t>html+=`&lt;div style="font-size:11px;color:var(--muted);margin-top:2px;"&gt;Initiated by: &lt;strong&gt;${esc(r.created_by)}&lt;/strong&gt;&lt;/div&gt;`;</t>
  </si>
  <si>
    <t>modal.className='modal-overlay fade-in';</t>
  </si>
  <si>
    <t>modal.innerHTML=`&lt;div class="modal-dialog" style="max-width:1200px;"&gt;</t>
  </si>
  <si>
    <t>&lt;div style="font-weight:600;font-size:18px;"&gt;Manufacturing Details&lt;/div&gt;</t>
  </si>
  <si>
    <t>&lt;button onclick="document.getElementById('req-detail-modal').style.display='none'" class="modal-close"&gt;&amp;times;&lt;/button&gt;&lt;/div&gt;</t>
  </si>
  <si>
    <t>&lt;div id="req-detail-body" class="modal-body"&gt;&lt;/div&gt;&lt;/div&gt;`;</t>
  </si>
  <si>
    <t>&lt;table class="table-compact" style="border:1px solid var(--border);border-radius:12px;overflow:hidden;box-shadow:var(--shadow-xs);"&gt;</t>
  </si>
  <si>
    <t>document.getElementById('req-insights-body').innerHTML= `&lt;div style="padding:24px;"&gt;${barsHtml}${masterHtml}&lt;/div&gt;`;</t>
  </si>
  <si>
    <t>document.getElementById('dash-low').innerHTML=`&lt;table class="table-compact" style="margin:0;"&gt;</t>
  </si>
  <si>
    <t>var sCls=function(s){return {'Confirmed':'b-Confirmed','Pending':'b-Pending','Cancelled':'b-Cancelled','Delivered':'b-Delivered','Shipped':'b-Shipped','Returned':'b-Returned','Out for Delivery':'b-OFD'}[s]||'b-ch';};</t>
  </si>
  <si>
    <t>document.getElementById('dash-recent').innerHTML=`&lt;table class="table-compact" style="margin:0;"&gt;</t>
  </si>
  <si>
    <t>&lt;td&gt;&lt;span class="badge ${sCls(o.status)}"&gt;${o.status}&lt;/span&gt;&lt;/td&gt;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</si>
</sst>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yyyy-mm-dd h:mm"/>
  </numFmts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theme="1"/>
      <name val="Arial"/>
    </font>
    <font>
      <b/>
      <sz val="20.0"/>
      <color theme="1"/>
      <name val="Arial"/>
    </font>
    <font/>
    <font>
      <b/>
      <sz val="11.0"/>
      <color theme="1"/>
      <name val="Arial"/>
    </font>
    <font>
      <i/>
      <sz val="10.0"/>
      <color rgb="FF1F1F1F"/>
      <name val="Roboto"/>
    </font>
    <font>
      <b/>
      <sz val="10.0"/>
      <color theme="1"/>
      <name val="Arial"/>
    </font>
    <font>
      <sz val="10.0"/>
      <color theme="1"/>
      <name val="Arial"/>
    </font>
    <font>
      <b/>
      <sz val="16.0"/>
      <color theme="1"/>
      <name val="Arial"/>
    </font>
    <font>
      <sz val="10.0"/>
      <color theme="1"/>
      <name val="Arial"/>
      <scheme val="minor"/>
    </font>
    <font>
      <b/>
      <sz val="12.0"/>
      <color theme="1"/>
      <name val="Arial"/>
    </font>
    <font>
      <b/>
      <sz val="13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u/>
      <sz val="15.0"/>
      <color rgb="FFFF0000"/>
    </font>
    <font>
      <b/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41B47"/>
        <bgColor rgb="FF741B47"/>
      </patternFill>
    </fill>
    <fill>
      <patternFill patternType="solid">
        <fgColor rgb="FF77D991"/>
        <bgColor rgb="FF77D991"/>
      </patternFill>
    </fill>
    <fill>
      <patternFill patternType="solid">
        <fgColor theme="7"/>
        <bgColor theme="7"/>
      </patternFill>
    </fill>
    <fill>
      <patternFill patternType="solid">
        <fgColor rgb="FF1A1A1A"/>
        <bgColor rgb="FF1A1A1A"/>
      </patternFill>
    </fill>
    <fill>
      <patternFill patternType="solid">
        <fgColor rgb="FF0F766E"/>
        <bgColor rgb="FF0F766E"/>
      </patternFill>
    </fill>
  </fills>
  <borders count="1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2" fillId="2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2" numFmtId="0" xfId="0" applyBorder="1" applyFill="1" applyFont="1"/>
    <xf borderId="0" fillId="3" fontId="2" numFmtId="0" xfId="0" applyFont="1"/>
    <xf borderId="5" fillId="4" fontId="6" numFmtId="0" xfId="0" applyAlignment="1" applyBorder="1" applyFill="1" applyFont="1">
      <alignment horizontal="center" readingOrder="0" vertical="bottom"/>
    </xf>
    <xf borderId="5" fillId="4" fontId="6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/>
    </xf>
    <xf borderId="0" fillId="5" fontId="6" numFmtId="0" xfId="0" applyFill="1" applyFont="1"/>
    <xf borderId="0" fillId="0" fontId="6" numFmtId="0" xfId="0" applyAlignment="1" applyFont="1">
      <alignment vertical="bottom"/>
    </xf>
    <xf borderId="0" fillId="3" fontId="7" numFmtId="0" xfId="0" applyAlignment="1" applyFont="1">
      <alignment readingOrder="0"/>
    </xf>
    <xf borderId="5" fillId="3" fontId="8" numFmtId="0" xfId="0" applyAlignment="1" applyBorder="1" applyFont="1">
      <alignment horizontal="center" shrinkToFit="0" wrapText="1"/>
    </xf>
    <xf borderId="0" fillId="3" fontId="8" numFmtId="0" xfId="0" applyAlignment="1" applyFont="1">
      <alignment horizontal="center"/>
    </xf>
    <xf borderId="5" fillId="3" fontId="9" numFmtId="0" xfId="0" applyAlignment="1" applyBorder="1" applyFont="1">
      <alignment vertical="bottom"/>
    </xf>
    <xf borderId="5" fillId="3" fontId="8" numFmtId="0" xfId="0" applyAlignment="1" applyBorder="1" applyFont="1">
      <alignment horizontal="center" readingOrder="0"/>
    </xf>
    <xf borderId="5" fillId="6" fontId="10" numFmtId="0" xfId="0" applyAlignment="1" applyBorder="1" applyFill="1" applyFont="1">
      <alignment horizontal="center" readingOrder="0"/>
    </xf>
    <xf borderId="5" fillId="3" fontId="9" numFmtId="0" xfId="0" applyBorder="1" applyFont="1"/>
    <xf borderId="5" fillId="3" fontId="8" numFmtId="0" xfId="0" applyAlignment="1" applyBorder="1" applyFont="1">
      <alignment horizontal="center" shrinkToFit="0" wrapText="0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0" fillId="3" fontId="2" numFmtId="0" xfId="0" applyAlignment="1" applyFont="1">
      <alignment vertical="bottom"/>
    </xf>
    <xf borderId="5" fillId="3" fontId="8" numFmtId="0" xfId="0" applyAlignment="1" applyBorder="1" applyFont="1">
      <alignment horizontal="center"/>
    </xf>
    <xf borderId="5" fillId="6" fontId="10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0" fillId="3" fontId="9" numFmtId="0" xfId="0" applyAlignment="1" applyFont="1">
      <alignment vertical="bottom"/>
    </xf>
    <xf borderId="0" fillId="0" fontId="11" numFmtId="0" xfId="0" applyFont="1"/>
    <xf borderId="7" fillId="3" fontId="8" numFmtId="0" xfId="0" applyAlignment="1" applyBorder="1" applyFont="1">
      <alignment horizontal="center"/>
    </xf>
    <xf borderId="8" fillId="3" fontId="8" numFmtId="0" xfId="0" applyAlignment="1" applyBorder="1" applyFont="1">
      <alignment horizontal="center"/>
    </xf>
    <xf borderId="9" fillId="3" fontId="8" numFmtId="0" xfId="0" applyAlignment="1" applyBorder="1" applyFont="1">
      <alignment horizontal="center"/>
    </xf>
    <xf borderId="5" fillId="3" fontId="8" numFmtId="0" xfId="0" applyAlignment="1" applyBorder="1" applyFont="1">
      <alignment horizontal="center" readingOrder="0" shrinkToFit="0" wrapText="1"/>
    </xf>
    <xf borderId="5" fillId="3" fontId="9" numFmtId="0" xfId="0" applyAlignment="1" applyBorder="1" applyFont="1">
      <alignment readingOrder="0" vertical="bottom"/>
    </xf>
    <xf borderId="5" fillId="3" fontId="2" numFmtId="0" xfId="0" applyAlignment="1" applyBorder="1" applyFont="1">
      <alignment vertical="bottom"/>
    </xf>
    <xf borderId="5" fillId="3" fontId="12" numFmtId="0" xfId="0" applyAlignment="1" applyBorder="1" applyFont="1">
      <alignment horizontal="center" readingOrder="0" shrinkToFit="0" wrapText="1"/>
    </xf>
    <xf borderId="5" fillId="3" fontId="12" numFmtId="0" xfId="0" applyAlignment="1" applyBorder="1" applyFont="1">
      <alignment horizontal="center" readingOrder="0"/>
    </xf>
    <xf borderId="5" fillId="3" fontId="12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5" fillId="3" fontId="2" numFmtId="0" xfId="0" applyBorder="1" applyFont="1"/>
    <xf borderId="5" fillId="3" fontId="2" numFmtId="0" xfId="0" applyAlignment="1" applyBorder="1" applyFont="1">
      <alignment readingOrder="0" vertical="bottom"/>
    </xf>
    <xf borderId="5" fillId="3" fontId="12" numFmtId="0" xfId="0" applyAlignment="1" applyBorder="1" applyFont="1">
      <alignment horizontal="center" shrinkToFit="0" wrapText="1"/>
    </xf>
    <xf borderId="5" fillId="6" fontId="10" numFmtId="0" xfId="0" applyAlignment="1" applyBorder="1" applyFont="1">
      <alignment horizontal="center"/>
    </xf>
    <xf borderId="5" fillId="7" fontId="10" numFmtId="0" xfId="0" applyAlignment="1" applyBorder="1" applyFill="1" applyFont="1">
      <alignment horizontal="center"/>
    </xf>
    <xf borderId="10" fillId="8" fontId="13" numFmtId="0" xfId="0" applyAlignment="1" applyBorder="1" applyFill="1" applyFont="1">
      <alignment horizontal="center" readingOrder="0"/>
    </xf>
    <xf borderId="0" fillId="8" fontId="14" numFmtId="0" xfId="0" applyAlignment="1" applyFont="1">
      <alignment readingOrder="0"/>
    </xf>
    <xf borderId="0" fillId="0" fontId="15" numFmtId="1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7" numFmtId="0" xfId="0" applyFont="1"/>
    <xf borderId="0" fillId="8" fontId="14" numFmtId="0" xfId="0" applyAlignment="1" applyFont="1">
      <alignment horizontal="center" readingOrder="0"/>
    </xf>
    <xf borderId="0" fillId="8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5" numFmtId="164" xfId="0" applyAlignment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15" numFmtId="165" xfId="0" applyAlignment="1" applyFont="1" applyNumberFormat="1">
      <alignment horizontal="left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5" numFmtId="165" xfId="0" applyAlignment="1" applyFont="1" applyNumberFormat="1">
      <alignment readingOrder="0"/>
    </xf>
    <xf borderId="0" fillId="9" fontId="14" numFmtId="0" xfId="0" applyAlignment="1" applyFill="1" applyFont="1">
      <alignment readingOrder="0"/>
    </xf>
    <xf quotePrefix="1" borderId="0" fillId="0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5" numFmtId="166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6VMl5zxqii7g9d3UsEpyyvz8qIPUBwg0P-YD2FNQyKOOT7haN6VLjSggbYaVs7Kstlw/exe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HEeJN6gMGKQevtZ9nqSd56JJmJ_8hyU-&amp;sz=w1000" TargetMode="External"/><Relationship Id="rId2" Type="http://schemas.openxmlformats.org/officeDocument/2006/relationships/hyperlink" Target="https://drive.google.com/thumbnail?id=1OXjyNasKCAD_WoEmhje-KLzzZ0WVE8c5&amp;sz=w1000" TargetMode="External"/><Relationship Id="rId3" Type="http://schemas.openxmlformats.org/officeDocument/2006/relationships/hyperlink" Target="https://drive.google.com/thumbnail?id=1R8z97b1CzINWdjq19YIx-Qq6fuclJ8bW&amp;sz=w1000" TargetMode="External"/><Relationship Id="rId4" Type="http://schemas.openxmlformats.org/officeDocument/2006/relationships/hyperlink" Target="https://drive.google.com/thumbnail?id=1aHTym5qcBPZEbEFtHbvlEIe9H2FOAlGG&amp;sz=w1000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7.38"/>
    <col customWidth="1" min="3" max="3" width="13.88"/>
    <col customWidth="1" min="4" max="4" width="10.25"/>
    <col customWidth="1" min="5" max="5" width="9.5"/>
    <col customWidth="1" min="6" max="6" width="8.88"/>
    <col customWidth="1" min="7" max="8" width="8.38"/>
    <col customWidth="1" min="9" max="9" width="9.0"/>
    <col customWidth="1" min="10" max="10" width="8.63"/>
    <col customWidth="1" hidden="1" min="11" max="11" width="10.0"/>
    <col customWidth="1" min="12" max="12" width="9.88"/>
    <col customWidth="1" min="13" max="13" width="22.0"/>
    <col customWidth="1" min="14" max="14" width="9.88"/>
    <col customWidth="1" min="15" max="15" width="29.25"/>
    <col customWidth="1" min="16" max="16" width="18.5"/>
    <col customWidth="1" min="17" max="17" width="14.63"/>
    <col customWidth="1" min="18" max="18" width="18.38"/>
  </cols>
  <sheetData>
    <row r="1">
      <c r="A1" s="1" t="s">
        <v>0</v>
      </c>
      <c r="B1" s="2"/>
      <c r="C1" s="2"/>
      <c r="D1" s="3"/>
      <c r="E1" s="3"/>
      <c r="F1" s="2"/>
      <c r="G1" s="2"/>
      <c r="H1" s="2"/>
      <c r="I1" s="2"/>
      <c r="J1" s="3"/>
      <c r="K1" s="2"/>
      <c r="L1" s="4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"/>
      <c r="B2" s="6"/>
      <c r="C2" s="6"/>
      <c r="D2" s="7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9"/>
      <c r="P2" s="5"/>
      <c r="Q2" s="6"/>
      <c r="R2" s="6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2" t="s">
        <v>2</v>
      </c>
      <c r="B3" s="13" t="s">
        <v>3</v>
      </c>
      <c r="C3" s="13" t="s">
        <v>4</v>
      </c>
      <c r="D3" s="14" t="s">
        <v>5</v>
      </c>
      <c r="E3" s="14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4" t="s">
        <v>11</v>
      </c>
      <c r="K3" s="15" t="s">
        <v>12</v>
      </c>
      <c r="L3" s="14" t="s">
        <v>13</v>
      </c>
      <c r="M3" s="15" t="s">
        <v>14</v>
      </c>
      <c r="N3" s="15" t="s">
        <v>15</v>
      </c>
      <c r="O3" s="15" t="s">
        <v>16</v>
      </c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75.0" customHeight="1">
      <c r="A4" s="18" t="str">
        <f>IMAGE("https://lh3.googleusercontent.com/d/1Q97Fzn8nRRboJCY7NXvKaHdqe-X5YJvb")</f>
        <v/>
      </c>
      <c r="B4" s="19" t="s">
        <v>17</v>
      </c>
      <c r="C4" s="20" t="s">
        <v>18</v>
      </c>
      <c r="D4" s="21"/>
      <c r="E4" s="21"/>
      <c r="F4" s="22">
        <v>0.0</v>
      </c>
      <c r="G4" s="22">
        <v>0.0</v>
      </c>
      <c r="H4" s="22">
        <v>2.0</v>
      </c>
      <c r="I4" s="22">
        <v>2.0</v>
      </c>
      <c r="J4" s="21"/>
      <c r="K4" s="22">
        <v>12.0</v>
      </c>
      <c r="L4" s="23">
        <v>4.0</v>
      </c>
      <c r="M4" s="22"/>
      <c r="N4" s="24"/>
      <c r="O4" s="25" t="s">
        <v>19</v>
      </c>
      <c r="P4" s="26"/>
      <c r="Q4" s="27" t="s">
        <v>20</v>
      </c>
      <c r="R4" s="26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75.0" customHeight="1">
      <c r="A5" s="21" t="str">
        <f>IMAGE("https://lh3.googleusercontent.com/d/1ggxo09UccLjOZLh248n91g1B5JEaKw4l")</f>
        <v/>
      </c>
      <c r="B5" s="19" t="s">
        <v>21</v>
      </c>
      <c r="C5" s="19" t="s">
        <v>22</v>
      </c>
      <c r="D5" s="21"/>
      <c r="E5" s="21"/>
      <c r="F5" s="22">
        <v>1.0</v>
      </c>
      <c r="G5" s="22">
        <v>2.0</v>
      </c>
      <c r="H5" s="22">
        <v>0.0</v>
      </c>
      <c r="I5" s="22">
        <v>2.0</v>
      </c>
      <c r="J5" s="21"/>
      <c r="K5" s="22">
        <v>10.0</v>
      </c>
      <c r="L5" s="23">
        <v>5.0</v>
      </c>
      <c r="M5" s="24"/>
      <c r="N5" s="24"/>
      <c r="O5" s="29" t="s">
        <v>19</v>
      </c>
      <c r="P5" s="26"/>
      <c r="Q5" s="27" t="s">
        <v>20</v>
      </c>
      <c r="R5" s="26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ht="75.0" customHeight="1">
      <c r="A6" s="21" t="str">
        <f>IMAGE("https://lh3.googleusercontent.com/d/1HjsDYqHalyILy709LKQ9NM4qq_QAJoUg")</f>
        <v/>
      </c>
      <c r="B6" s="19" t="s">
        <v>23</v>
      </c>
      <c r="C6" s="19" t="s">
        <v>24</v>
      </c>
      <c r="D6" s="21"/>
      <c r="E6" s="21"/>
      <c r="F6" s="22">
        <v>0.0</v>
      </c>
      <c r="G6" s="22">
        <v>1.0</v>
      </c>
      <c r="H6" s="22">
        <v>0.0</v>
      </c>
      <c r="I6" s="22">
        <v>2.0</v>
      </c>
      <c r="J6" s="21"/>
      <c r="K6" s="22">
        <v>12.0</v>
      </c>
      <c r="L6" s="30">
        <v>3.0</v>
      </c>
      <c r="M6" s="24"/>
      <c r="N6" s="24"/>
      <c r="O6" s="29" t="s">
        <v>19</v>
      </c>
      <c r="P6" s="26"/>
      <c r="Q6" s="27" t="s">
        <v>20</v>
      </c>
      <c r="R6" s="26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ht="75.0" customHeight="1">
      <c r="A7" s="21" t="str">
        <f>IMAGE("https://lh3.googleusercontent.com/d/18aHNPdsOZO_D04PxDeFzZsJ4hvtIOhx0")</f>
        <v/>
      </c>
      <c r="B7" s="19" t="s">
        <v>25</v>
      </c>
      <c r="C7" s="19" t="s">
        <v>26</v>
      </c>
      <c r="D7" s="21"/>
      <c r="E7" s="21"/>
      <c r="F7" s="22">
        <v>0.0</v>
      </c>
      <c r="G7" s="22">
        <v>0.0</v>
      </c>
      <c r="H7" s="22">
        <v>0.0</v>
      </c>
      <c r="I7" s="22">
        <v>1.0</v>
      </c>
      <c r="J7" s="21"/>
      <c r="K7" s="22">
        <v>10.0</v>
      </c>
      <c r="L7" s="23">
        <v>1.0</v>
      </c>
      <c r="M7" s="24"/>
      <c r="N7" s="24"/>
      <c r="O7" s="29" t="s">
        <v>19</v>
      </c>
      <c r="P7" s="26"/>
      <c r="Q7" s="27" t="s">
        <v>20</v>
      </c>
      <c r="R7" s="26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ht="75.0" customHeight="1">
      <c r="A8" s="21" t="str">
        <f>IMAGE("https://lh3.googleusercontent.com/d/1A3ru8fAkrtI1_H2CTDMC9LLH3Mknn48k")</f>
        <v/>
      </c>
      <c r="B8" s="19" t="s">
        <v>27</v>
      </c>
      <c r="C8" s="19" t="s">
        <v>28</v>
      </c>
      <c r="D8" s="21"/>
      <c r="E8" s="21"/>
      <c r="F8" s="22">
        <v>0.0</v>
      </c>
      <c r="G8" s="22">
        <v>2.0</v>
      </c>
      <c r="H8" s="22">
        <v>2.0</v>
      </c>
      <c r="I8" s="22">
        <v>2.0</v>
      </c>
      <c r="J8" s="21"/>
      <c r="K8" s="22">
        <v>12.0</v>
      </c>
      <c r="L8" s="23">
        <v>6.0</v>
      </c>
      <c r="M8" s="24"/>
      <c r="N8" s="24"/>
      <c r="O8" s="29" t="s">
        <v>19</v>
      </c>
      <c r="P8" s="26"/>
      <c r="Q8" s="27" t="s">
        <v>20</v>
      </c>
      <c r="R8" s="26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ht="75.0" customHeight="1">
      <c r="A9" s="21" t="str">
        <f>IMAGE("https://lh3.googleusercontent.com/d/1bIrk6VjmpgC6IbxoqWyLLXGcpeRpOuA5")</f>
        <v/>
      </c>
      <c r="B9" s="19" t="s">
        <v>29</v>
      </c>
      <c r="C9" s="19" t="s">
        <v>30</v>
      </c>
      <c r="D9" s="21"/>
      <c r="E9" s="21"/>
      <c r="F9" s="22">
        <v>2.0</v>
      </c>
      <c r="G9" s="22">
        <v>2.0</v>
      </c>
      <c r="H9" s="22">
        <v>1.0</v>
      </c>
      <c r="I9" s="22">
        <v>2.0</v>
      </c>
      <c r="J9" s="24"/>
      <c r="K9" s="22">
        <v>8.0</v>
      </c>
      <c r="L9" s="23">
        <v>7.0</v>
      </c>
      <c r="M9" s="29" t="s">
        <v>31</v>
      </c>
      <c r="N9" s="24"/>
      <c r="O9" s="29" t="s">
        <v>32</v>
      </c>
      <c r="P9" s="26"/>
      <c r="Q9" s="26"/>
      <c r="R9" s="26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75.0" customHeight="1">
      <c r="A10" s="21" t="str">
        <f>IMAGE("https://lh3.googleusercontent.com/d/1rd4dOXydDJ7LbY46OL96zXR3krnMYQH1")</f>
        <v/>
      </c>
      <c r="B10" s="19" t="s">
        <v>33</v>
      </c>
      <c r="C10" s="19" t="s">
        <v>34</v>
      </c>
      <c r="D10" s="21"/>
      <c r="E10" s="21"/>
      <c r="F10" s="22">
        <v>2.0</v>
      </c>
      <c r="G10" s="22">
        <v>1.0</v>
      </c>
      <c r="H10" s="22">
        <v>3.0</v>
      </c>
      <c r="I10" s="22">
        <v>1.0</v>
      </c>
      <c r="J10" s="24"/>
      <c r="K10" s="22">
        <v>10.0</v>
      </c>
      <c r="L10" s="23">
        <v>7.0</v>
      </c>
      <c r="M10" s="29" t="s">
        <v>35</v>
      </c>
      <c r="N10" s="24"/>
      <c r="O10" s="29" t="s">
        <v>32</v>
      </c>
      <c r="P10" s="26"/>
      <c r="Q10" s="26"/>
      <c r="R10" s="26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75.0" customHeight="1">
      <c r="A11" s="21" t="str">
        <f>IMAGE("https://lh3.googleusercontent.com/d/1ROrHMMi17a2S5uJPyb3e6WjxJC0uQOrM")</f>
        <v/>
      </c>
      <c r="B11" s="19" t="s">
        <v>36</v>
      </c>
      <c r="C11" s="19" t="s">
        <v>37</v>
      </c>
      <c r="D11" s="21"/>
      <c r="E11" s="21"/>
      <c r="F11" s="22">
        <v>2.0</v>
      </c>
      <c r="G11" s="22">
        <v>1.0</v>
      </c>
      <c r="H11" s="22">
        <v>2.0</v>
      </c>
      <c r="I11" s="22">
        <v>1.0</v>
      </c>
      <c r="J11" s="24"/>
      <c r="K11" s="22">
        <v>8.0</v>
      </c>
      <c r="L11" s="23">
        <v>6.0</v>
      </c>
      <c r="M11" s="29" t="s">
        <v>38</v>
      </c>
      <c r="N11" s="24"/>
      <c r="O11" s="29" t="s">
        <v>32</v>
      </c>
      <c r="P11" s="26"/>
      <c r="Q11" s="26"/>
      <c r="R11" s="26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75.0" customHeight="1">
      <c r="A12" s="21" t="str">
        <f>IMAGE("https://lh3.googleusercontent.com/d/1KvIw0pAGsbivMSuwJ_I3EE8pro8PmeqU")</f>
        <v/>
      </c>
      <c r="B12" s="19" t="s">
        <v>39</v>
      </c>
      <c r="C12" s="19" t="s">
        <v>40</v>
      </c>
      <c r="D12" s="21"/>
      <c r="E12" s="21"/>
      <c r="F12" s="22">
        <v>0.0</v>
      </c>
      <c r="G12" s="22">
        <v>2.0</v>
      </c>
      <c r="H12" s="22">
        <v>3.0</v>
      </c>
      <c r="I12" s="22">
        <v>1.0</v>
      </c>
      <c r="J12" s="24"/>
      <c r="K12" s="22">
        <v>10.0</v>
      </c>
      <c r="L12" s="23">
        <v>6.0</v>
      </c>
      <c r="M12" s="29" t="s">
        <v>41</v>
      </c>
      <c r="N12" s="24"/>
      <c r="O12" s="29" t="s">
        <v>32</v>
      </c>
      <c r="P12" s="26"/>
      <c r="Q12" s="26"/>
      <c r="R12" s="26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ht="75.0" customHeight="1">
      <c r="A13" s="21" t="str">
        <f>IMAGE("https://lh3.googleusercontent.com/d/10N8Wn0AXFWsnmcD-8agIg-zelyJVnPOY")</f>
        <v/>
      </c>
      <c r="B13" s="19" t="s">
        <v>42</v>
      </c>
      <c r="C13" s="19" t="s">
        <v>43</v>
      </c>
      <c r="D13" s="21"/>
      <c r="E13" s="21"/>
      <c r="F13" s="22">
        <v>2.0</v>
      </c>
      <c r="G13" s="22">
        <v>3.0</v>
      </c>
      <c r="H13" s="22">
        <v>3.0</v>
      </c>
      <c r="I13" s="22">
        <v>2.0</v>
      </c>
      <c r="J13" s="24"/>
      <c r="K13" s="22">
        <v>10.0</v>
      </c>
      <c r="L13" s="23">
        <v>10.0</v>
      </c>
      <c r="M13" s="29" t="s">
        <v>44</v>
      </c>
      <c r="N13" s="24"/>
      <c r="O13" s="29" t="s">
        <v>32</v>
      </c>
      <c r="P13" s="26"/>
      <c r="Q13" s="26"/>
      <c r="R13" s="26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ht="75.0" customHeight="1">
      <c r="A14" s="21" t="str">
        <f>IMAGE("https://lh3.googleusercontent.com/d/1-NqibVjjj2maM8bIAfA8vDyU5g3Dak2O")</f>
        <v/>
      </c>
      <c r="B14" s="19" t="s">
        <v>45</v>
      </c>
      <c r="C14" s="19" t="s">
        <v>46</v>
      </c>
      <c r="D14" s="21"/>
      <c r="E14" s="21"/>
      <c r="F14" s="22">
        <v>2.0</v>
      </c>
      <c r="G14" s="22">
        <v>2.0</v>
      </c>
      <c r="H14" s="22">
        <v>2.0</v>
      </c>
      <c r="I14" s="22">
        <v>2.0</v>
      </c>
      <c r="J14" s="24"/>
      <c r="K14" s="22">
        <v>8.0</v>
      </c>
      <c r="L14" s="23">
        <v>8.0</v>
      </c>
      <c r="M14" s="29" t="s">
        <v>47</v>
      </c>
      <c r="N14" s="24"/>
      <c r="O14" s="29" t="s">
        <v>32</v>
      </c>
      <c r="P14" s="26"/>
      <c r="Q14" s="26"/>
      <c r="R14" s="26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ht="75.0" customHeight="1">
      <c r="A15" s="21" t="str">
        <f>IMAGE("https://lh3.googleusercontent.com/d/1QqhQLBCN6i4sAl9a9K-Ct69dUdvq_njL")</f>
        <v/>
      </c>
      <c r="B15" s="19" t="s">
        <v>48</v>
      </c>
      <c r="C15" s="19" t="s">
        <v>49</v>
      </c>
      <c r="D15" s="21"/>
      <c r="E15" s="21"/>
      <c r="F15" s="24"/>
      <c r="G15" s="24"/>
      <c r="H15" s="24"/>
      <c r="I15" s="24"/>
      <c r="J15" s="24"/>
      <c r="K15" s="24"/>
      <c r="L15" s="23"/>
      <c r="M15" s="29" t="s">
        <v>50</v>
      </c>
      <c r="N15" s="24"/>
      <c r="O15" s="29" t="s">
        <v>51</v>
      </c>
      <c r="P15" s="26"/>
      <c r="Q15" s="26"/>
      <c r="R15" s="26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ht="75.0" customHeight="1">
      <c r="A16" s="21" t="str">
        <f>IMAGE("https://lh3.googleusercontent.com/d/1EALf6AEh2lI27-webbHOzSguXsgCcgJD")</f>
        <v/>
      </c>
      <c r="B16" s="19" t="s">
        <v>52</v>
      </c>
      <c r="C16" s="19" t="s">
        <v>53</v>
      </c>
      <c r="D16" s="21"/>
      <c r="E16" s="21"/>
      <c r="F16" s="24"/>
      <c r="G16" s="24"/>
      <c r="H16" s="24"/>
      <c r="I16" s="24"/>
      <c r="J16" s="24"/>
      <c r="K16" s="24"/>
      <c r="L16" s="23"/>
      <c r="M16" s="29" t="s">
        <v>54</v>
      </c>
      <c r="N16" s="24"/>
      <c r="O16" s="29" t="s">
        <v>51</v>
      </c>
      <c r="P16" s="26"/>
      <c r="Q16" s="26"/>
      <c r="R16" s="26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ht="75.0" customHeight="1">
      <c r="A17" s="21" t="str">
        <f>IMAGE("https://lh3.googleusercontent.com/d/1oJuADkMVSApxC8kcy9IR_rv_luL76nos")</f>
        <v/>
      </c>
      <c r="B17" s="19" t="s">
        <v>55</v>
      </c>
      <c r="C17" s="19" t="s">
        <v>56</v>
      </c>
      <c r="D17" s="21"/>
      <c r="E17" s="21"/>
      <c r="F17" s="22">
        <v>2.0</v>
      </c>
      <c r="G17" s="22">
        <v>2.0</v>
      </c>
      <c r="H17" s="22">
        <v>3.0</v>
      </c>
      <c r="I17" s="22">
        <v>0.0</v>
      </c>
      <c r="J17" s="21"/>
      <c r="K17" s="22">
        <v>10.0</v>
      </c>
      <c r="L17" s="23">
        <v>7.0</v>
      </c>
      <c r="M17" s="29" t="s">
        <v>57</v>
      </c>
      <c r="N17" s="24"/>
      <c r="O17" s="29" t="s">
        <v>58</v>
      </c>
      <c r="P17" s="27" t="s">
        <v>59</v>
      </c>
      <c r="Q17" s="26"/>
      <c r="R17" s="26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ht="75.0" customHeight="1">
      <c r="A18" s="21" t="str">
        <f>IMAGE("https://lh3.googleusercontent.com/d/1k4BtcTSugNp1XjdVnJSeEdtClZ9vlBeW")</f>
        <v/>
      </c>
      <c r="B18" s="19" t="s">
        <v>60</v>
      </c>
      <c r="C18" s="19" t="s">
        <v>61</v>
      </c>
      <c r="D18" s="21"/>
      <c r="E18" s="21"/>
      <c r="F18" s="22">
        <v>2.0</v>
      </c>
      <c r="G18" s="22">
        <v>3.0</v>
      </c>
      <c r="H18" s="22">
        <v>3.0</v>
      </c>
      <c r="I18" s="22">
        <v>1.0</v>
      </c>
      <c r="J18" s="21"/>
      <c r="K18" s="22">
        <v>10.0</v>
      </c>
      <c r="L18" s="23">
        <v>9.0</v>
      </c>
      <c r="M18" s="29" t="s">
        <v>62</v>
      </c>
      <c r="N18" s="24"/>
      <c r="O18" s="29" t="s">
        <v>58</v>
      </c>
      <c r="P18" s="27" t="s">
        <v>20</v>
      </c>
      <c r="Q18" s="26"/>
      <c r="R18" s="26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ht="75.0" customHeight="1">
      <c r="A19" s="21" t="str">
        <f>IMAGE("https://lh3.googleusercontent.com/d/1EG5tDiKrgMom7Tb-p89MuW4LKwliGYR8")</f>
        <v/>
      </c>
      <c r="B19" s="19" t="s">
        <v>63</v>
      </c>
      <c r="C19" s="19" t="s">
        <v>64</v>
      </c>
      <c r="D19" s="21"/>
      <c r="E19" s="21"/>
      <c r="F19" s="24"/>
      <c r="G19" s="24"/>
      <c r="H19" s="24"/>
      <c r="I19" s="24"/>
      <c r="J19" s="21"/>
      <c r="K19" s="24"/>
      <c r="L19" s="23"/>
      <c r="M19" s="29" t="s">
        <v>65</v>
      </c>
      <c r="N19" s="24"/>
      <c r="O19" s="29" t="s">
        <v>66</v>
      </c>
      <c r="P19" s="26"/>
      <c r="Q19" s="26"/>
      <c r="R19" s="26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ht="75.0" customHeight="1">
      <c r="A20" s="21" t="str">
        <f>IMAGE("https://lh3.googleusercontent.com/d/1J87ejU6pfpB9Tgp0QQfTbXu2z1Pda0R0")</f>
        <v/>
      </c>
      <c r="B20" s="19" t="s">
        <v>67</v>
      </c>
      <c r="C20" s="19" t="s">
        <v>68</v>
      </c>
      <c r="D20" s="21"/>
      <c r="E20" s="21"/>
      <c r="F20" s="24"/>
      <c r="G20" s="24"/>
      <c r="H20" s="24"/>
      <c r="I20" s="24"/>
      <c r="J20" s="21"/>
      <c r="K20" s="24"/>
      <c r="L20" s="23"/>
      <c r="M20" s="29" t="s">
        <v>69</v>
      </c>
      <c r="N20" s="24"/>
      <c r="O20" s="29" t="s">
        <v>58</v>
      </c>
      <c r="P20" s="26"/>
      <c r="Q20" s="26"/>
      <c r="R20" s="26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75.0" customHeight="1">
      <c r="A21" s="21" t="str">
        <f>IMAGE("https://lh3.googleusercontent.com/d/1BCM_5wJgaPYllkJqDHuO_wWgIkv2I1mL")</f>
        <v/>
      </c>
      <c r="B21" s="19" t="s">
        <v>70</v>
      </c>
      <c r="C21" s="19" t="s">
        <v>71</v>
      </c>
      <c r="D21" s="21"/>
      <c r="E21" s="24"/>
      <c r="F21" s="22">
        <v>2.0</v>
      </c>
      <c r="G21" s="22">
        <v>3.0</v>
      </c>
      <c r="H21" s="22">
        <v>3.0</v>
      </c>
      <c r="I21" s="22">
        <v>2.0</v>
      </c>
      <c r="J21" s="24"/>
      <c r="K21" s="22">
        <v>10.0</v>
      </c>
      <c r="L21" s="23">
        <v>10.0</v>
      </c>
      <c r="M21" s="29" t="s">
        <v>72</v>
      </c>
      <c r="N21" s="24"/>
      <c r="O21" s="29" t="s">
        <v>58</v>
      </c>
      <c r="P21" s="26"/>
      <c r="Q21" s="26"/>
      <c r="R21" s="26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ht="75.0" customHeight="1">
      <c r="A22" s="21" t="str">
        <f>IMAGE("https://lh3.googleusercontent.com/d/1R7dVzViOLF9ykncawFoq-mLdlcAo9RN0")</f>
        <v/>
      </c>
      <c r="B22" s="19" t="s">
        <v>73</v>
      </c>
      <c r="C22" s="19" t="s">
        <v>74</v>
      </c>
      <c r="D22" s="21"/>
      <c r="E22" s="24"/>
      <c r="F22" s="22">
        <v>1.0</v>
      </c>
      <c r="G22" s="22">
        <v>2.0</v>
      </c>
      <c r="H22" s="22">
        <v>4.0</v>
      </c>
      <c r="I22" s="22">
        <v>1.0</v>
      </c>
      <c r="J22" s="24"/>
      <c r="K22" s="22">
        <v>10.0</v>
      </c>
      <c r="L22" s="23">
        <v>8.0</v>
      </c>
      <c r="M22" s="29" t="s">
        <v>57</v>
      </c>
      <c r="N22" s="24"/>
      <c r="O22" s="29" t="s">
        <v>58</v>
      </c>
      <c r="P22" s="26"/>
      <c r="Q22" s="26"/>
      <c r="R22" s="26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ht="75.0" customHeight="1">
      <c r="A23" s="21" t="str">
        <f>IMAGE("https://lh3.googleusercontent.com/d/1zkp6uJ9pYuF9HaEonXGxs5zQ_D_TiZrm")</f>
        <v/>
      </c>
      <c r="B23" s="19" t="s">
        <v>75</v>
      </c>
      <c r="C23" s="19" t="s">
        <v>76</v>
      </c>
      <c r="D23" s="21"/>
      <c r="E23" s="21"/>
      <c r="F23" s="22">
        <v>1.0</v>
      </c>
      <c r="G23" s="22">
        <v>2.0</v>
      </c>
      <c r="H23" s="22">
        <v>2.0</v>
      </c>
      <c r="I23" s="22">
        <v>2.0</v>
      </c>
      <c r="J23" s="21"/>
      <c r="K23" s="22">
        <v>10.0</v>
      </c>
      <c r="L23" s="30">
        <v>7.0</v>
      </c>
      <c r="M23" s="29" t="s">
        <v>77</v>
      </c>
      <c r="N23" s="24"/>
      <c r="O23" s="29" t="s">
        <v>78</v>
      </c>
      <c r="P23" s="26"/>
      <c r="Q23" s="26"/>
      <c r="R23" s="26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75.0" customHeight="1">
      <c r="A24" s="21" t="str">
        <f>IMAGE("https://lh3.googleusercontent.com/d/1An6DD_ZDIaa0qbaDXrzrR9rVC3MEA2m5")</f>
        <v/>
      </c>
      <c r="B24" s="19" t="s">
        <v>79</v>
      </c>
      <c r="C24" s="19" t="s">
        <v>80</v>
      </c>
      <c r="D24" s="21"/>
      <c r="E24" s="21"/>
      <c r="F24" s="22">
        <v>2.0</v>
      </c>
      <c r="G24" s="22">
        <v>2.0</v>
      </c>
      <c r="H24" s="22">
        <v>3.0</v>
      </c>
      <c r="I24" s="22">
        <v>2.0</v>
      </c>
      <c r="J24" s="21"/>
      <c r="K24" s="22">
        <v>10.0</v>
      </c>
      <c r="L24" s="23">
        <v>9.0</v>
      </c>
      <c r="M24" s="29" t="s">
        <v>81</v>
      </c>
      <c r="N24" s="24"/>
      <c r="O24" s="29" t="s">
        <v>78</v>
      </c>
      <c r="P24" s="27" t="s">
        <v>59</v>
      </c>
      <c r="Q24" s="26"/>
      <c r="R24" s="26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ht="75.0" customHeight="1">
      <c r="A25" s="21" t="str">
        <f>IMAGE("https://lh3.googleusercontent.com/d/17PvHDuXiJ8u4ocFjBnuQX9E6czOY9COm")</f>
        <v/>
      </c>
      <c r="B25" s="19" t="s">
        <v>82</v>
      </c>
      <c r="C25" s="19" t="s">
        <v>83</v>
      </c>
      <c r="D25" s="21"/>
      <c r="E25" s="21"/>
      <c r="F25" s="22">
        <v>2.0</v>
      </c>
      <c r="G25" s="22">
        <v>3.0</v>
      </c>
      <c r="H25" s="22">
        <v>3.0</v>
      </c>
      <c r="I25" s="22">
        <v>2.0</v>
      </c>
      <c r="J25" s="21"/>
      <c r="K25" s="22">
        <v>10.0</v>
      </c>
      <c r="L25" s="23">
        <v>10.0</v>
      </c>
      <c r="M25" s="29" t="s">
        <v>84</v>
      </c>
      <c r="N25" s="24"/>
      <c r="O25" s="29" t="s">
        <v>78</v>
      </c>
      <c r="P25" s="26"/>
      <c r="Q25" s="26"/>
      <c r="R25" s="26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ht="75.0" customHeight="1">
      <c r="A26" s="21" t="str">
        <f>IMAGE("https://lh3.googleusercontent.com/d/1sVAgUsIL-xifYSZPM1QYkPke39ZkxMXX")</f>
        <v/>
      </c>
      <c r="B26" s="19" t="s">
        <v>85</v>
      </c>
      <c r="C26" s="19" t="s">
        <v>86</v>
      </c>
      <c r="D26" s="21"/>
      <c r="E26" s="21"/>
      <c r="F26" s="22">
        <v>2.0</v>
      </c>
      <c r="G26" s="22">
        <v>3.0</v>
      </c>
      <c r="H26" s="22">
        <v>2.0</v>
      </c>
      <c r="I26" s="22">
        <v>2.0</v>
      </c>
      <c r="J26" s="21"/>
      <c r="K26" s="22">
        <v>10.0</v>
      </c>
      <c r="L26" s="30">
        <v>9.0</v>
      </c>
      <c r="M26" s="29" t="s">
        <v>87</v>
      </c>
      <c r="N26" s="24"/>
      <c r="O26" s="29" t="s">
        <v>78</v>
      </c>
      <c r="P26" s="26"/>
      <c r="Q26" s="26"/>
      <c r="R26" s="26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75.0" customHeight="1">
      <c r="A27" s="21" t="str">
        <f>IMAGE("https://lh3.googleusercontent.com/d/1nuaTUotrEF1bET0PypoNVnfChsfznTSH")</f>
        <v/>
      </c>
      <c r="B27" s="19" t="s">
        <v>88</v>
      </c>
      <c r="C27" s="19" t="s">
        <v>89</v>
      </c>
      <c r="D27" s="21"/>
      <c r="E27" s="21"/>
      <c r="F27" s="22">
        <v>2.0</v>
      </c>
      <c r="G27" s="22">
        <v>3.0</v>
      </c>
      <c r="H27" s="22">
        <v>3.0</v>
      </c>
      <c r="I27" s="22">
        <v>2.0</v>
      </c>
      <c r="J27" s="21"/>
      <c r="K27" s="22">
        <v>10.0</v>
      </c>
      <c r="L27" s="30">
        <v>10.0</v>
      </c>
      <c r="M27" s="29" t="s">
        <v>90</v>
      </c>
      <c r="N27" s="24"/>
      <c r="O27" s="29" t="s">
        <v>91</v>
      </c>
      <c r="P27" s="26"/>
      <c r="Q27" s="26"/>
      <c r="R27" s="26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ht="75.0" customHeight="1">
      <c r="A28" s="21" t="str">
        <f>IMAGE("https://lh3.googleusercontent.com/d/1lvOtsmKYqc3qbVZ_6aaXYZuLI6ZRc5od")</f>
        <v/>
      </c>
      <c r="B28" s="19" t="s">
        <v>92</v>
      </c>
      <c r="C28" s="19" t="s">
        <v>93</v>
      </c>
      <c r="D28" s="21"/>
      <c r="E28" s="21"/>
      <c r="F28" s="22">
        <v>2.0</v>
      </c>
      <c r="G28" s="22">
        <v>3.0</v>
      </c>
      <c r="H28" s="22">
        <v>3.0</v>
      </c>
      <c r="I28" s="22">
        <v>2.0</v>
      </c>
      <c r="J28" s="21"/>
      <c r="K28" s="22">
        <v>10.0</v>
      </c>
      <c r="L28" s="23">
        <v>10.0</v>
      </c>
      <c r="M28" s="29" t="s">
        <v>90</v>
      </c>
      <c r="N28" s="24"/>
      <c r="O28" s="29" t="s">
        <v>91</v>
      </c>
      <c r="P28" s="26"/>
      <c r="Q28" s="26"/>
      <c r="R28" s="26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ht="75.0" customHeight="1">
      <c r="A29" s="21" t="str">
        <f>IMAGE("https://lh3.googleusercontent.com/d/14eA7QJESIagriIsTj5iHo2LkZs7eAzLN")</f>
        <v/>
      </c>
      <c r="B29" s="19" t="s">
        <v>94</v>
      </c>
      <c r="C29" s="19" t="s">
        <v>95</v>
      </c>
      <c r="D29" s="21"/>
      <c r="E29" s="24"/>
      <c r="F29" s="22">
        <v>1.0</v>
      </c>
      <c r="G29" s="22">
        <v>3.0</v>
      </c>
      <c r="H29" s="22">
        <v>3.0</v>
      </c>
      <c r="I29" s="22">
        <v>2.0</v>
      </c>
      <c r="J29" s="24"/>
      <c r="K29" s="22">
        <v>10.0</v>
      </c>
      <c r="L29" s="23">
        <v>9.0</v>
      </c>
      <c r="M29" s="29" t="s">
        <v>96</v>
      </c>
      <c r="N29" s="24"/>
      <c r="O29" s="29" t="s">
        <v>91</v>
      </c>
      <c r="P29" s="26"/>
      <c r="Q29" s="26"/>
      <c r="R29" s="26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75.0" customHeight="1">
      <c r="A30" s="21" t="str">
        <f>IMAGE("https://lh3.googleusercontent.com/d/1mWeu1S_g5FgH3PfyEWyY7GvD7nNYibuv")</f>
        <v/>
      </c>
      <c r="B30" s="19" t="s">
        <v>97</v>
      </c>
      <c r="C30" s="19" t="s">
        <v>98</v>
      </c>
      <c r="D30" s="21"/>
      <c r="E30" s="21"/>
      <c r="F30" s="22">
        <v>2.0</v>
      </c>
      <c r="G30" s="22">
        <v>2.0</v>
      </c>
      <c r="H30" s="22">
        <v>2.0</v>
      </c>
      <c r="I30" s="22">
        <v>2.0</v>
      </c>
      <c r="J30" s="24"/>
      <c r="K30" s="22">
        <v>8.0</v>
      </c>
      <c r="L30" s="23">
        <v>8.0</v>
      </c>
      <c r="M30" s="29" t="s">
        <v>99</v>
      </c>
      <c r="N30" s="24"/>
      <c r="O30" s="29" t="s">
        <v>91</v>
      </c>
      <c r="P30" s="26"/>
      <c r="Q30" s="26"/>
      <c r="R30" s="26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ht="75.0" customHeight="1">
      <c r="A31" s="21" t="str">
        <f>IMAGE("https://lh3.googleusercontent.com/d/1xRLGFKH3G8MI2WhS9ubGKYwoGHYeUH1I")</f>
        <v/>
      </c>
      <c r="B31" s="19" t="s">
        <v>100</v>
      </c>
      <c r="C31" s="19" t="s">
        <v>101</v>
      </c>
      <c r="D31" s="21"/>
      <c r="E31" s="21"/>
      <c r="F31" s="24"/>
      <c r="G31" s="24"/>
      <c r="H31" s="24"/>
      <c r="I31" s="24"/>
      <c r="J31" s="24"/>
      <c r="K31" s="24"/>
      <c r="L31" s="23"/>
      <c r="M31" s="29" t="s">
        <v>81</v>
      </c>
      <c r="N31" s="24"/>
      <c r="O31" s="29" t="s">
        <v>102</v>
      </c>
      <c r="P31" s="26"/>
      <c r="Q31" s="26"/>
      <c r="R31" s="26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ht="75.0" customHeight="1">
      <c r="A32" s="21" t="str">
        <f>IMAGE("https://lh3.googleusercontent.com/d/12iYswmgxBSCgwB34Y7rbLPggBfR8ZuTz")</f>
        <v/>
      </c>
      <c r="B32" s="19" t="s">
        <v>103</v>
      </c>
      <c r="C32" s="19" t="s">
        <v>104</v>
      </c>
      <c r="D32" s="21"/>
      <c r="E32" s="21"/>
      <c r="F32" s="22">
        <v>2.0</v>
      </c>
      <c r="G32" s="22">
        <v>3.0</v>
      </c>
      <c r="H32" s="22">
        <v>3.0</v>
      </c>
      <c r="I32" s="22">
        <v>2.0</v>
      </c>
      <c r="J32" s="24"/>
      <c r="K32" s="22">
        <v>12.0</v>
      </c>
      <c r="L32" s="23">
        <v>10.0</v>
      </c>
      <c r="M32" s="29" t="s">
        <v>105</v>
      </c>
      <c r="N32" s="24"/>
      <c r="O32" s="29" t="s">
        <v>102</v>
      </c>
      <c r="P32" s="26"/>
      <c r="Q32" s="26"/>
      <c r="R32" s="26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75.0" customHeight="1">
      <c r="A33" s="21" t="str">
        <f>IMAGE("https://lh3.googleusercontent.com/d/1VDj-olHgsqrjVNsl5IWPYM2Zv9Ix2Rwq")</f>
        <v/>
      </c>
      <c r="B33" s="19" t="s">
        <v>106</v>
      </c>
      <c r="C33" s="19" t="s">
        <v>107</v>
      </c>
      <c r="D33" s="21"/>
      <c r="E33" s="21"/>
      <c r="F33" s="22">
        <v>2.0</v>
      </c>
      <c r="G33" s="22">
        <v>3.0</v>
      </c>
      <c r="H33" s="22">
        <v>3.0</v>
      </c>
      <c r="I33" s="22">
        <v>1.0</v>
      </c>
      <c r="J33" s="24"/>
      <c r="K33" s="22">
        <v>12.0</v>
      </c>
      <c r="L33" s="23">
        <v>9.0</v>
      </c>
      <c r="M33" s="29" t="s">
        <v>77</v>
      </c>
      <c r="N33" s="24"/>
      <c r="O33" s="29" t="s">
        <v>102</v>
      </c>
      <c r="P33" s="31" t="s">
        <v>59</v>
      </c>
      <c r="Q33" s="26"/>
      <c r="R33" s="26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ht="75.0" customHeight="1">
      <c r="A34" s="21" t="str">
        <f>IMAGE("https://lh3.googleusercontent.com/d/1w0OeDkxPAga4raf0K4Yd0IMuBknWiXk5")</f>
        <v/>
      </c>
      <c r="B34" s="19" t="s">
        <v>108</v>
      </c>
      <c r="C34" s="19" t="s">
        <v>109</v>
      </c>
      <c r="D34" s="21"/>
      <c r="E34" s="21"/>
      <c r="F34" s="22">
        <v>2.0</v>
      </c>
      <c r="G34" s="22">
        <v>2.0</v>
      </c>
      <c r="H34" s="22">
        <v>4.0</v>
      </c>
      <c r="I34" s="22">
        <v>2.0</v>
      </c>
      <c r="J34" s="24"/>
      <c r="K34" s="22">
        <v>12.0</v>
      </c>
      <c r="L34" s="23">
        <v>10.0</v>
      </c>
      <c r="M34" s="29" t="s">
        <v>110</v>
      </c>
      <c r="N34" s="24"/>
      <c r="O34" s="29" t="s">
        <v>102</v>
      </c>
      <c r="P34" s="26"/>
      <c r="Q34" s="26"/>
      <c r="R34" s="26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ht="75.0" customHeight="1">
      <c r="A35" s="21" t="str">
        <f>IMAGE("https://lh3.googleusercontent.com/d/1AbHATmO8YlJHwzUt1GDgngDpFJCcq8GF")</f>
        <v/>
      </c>
      <c r="B35" s="19" t="s">
        <v>111</v>
      </c>
      <c r="C35" s="19" t="s">
        <v>112</v>
      </c>
      <c r="D35" s="21"/>
      <c r="E35" s="21"/>
      <c r="F35" s="24"/>
      <c r="G35" s="24"/>
      <c r="H35" s="24"/>
      <c r="I35" s="24"/>
      <c r="J35" s="24"/>
      <c r="K35" s="24"/>
      <c r="L35" s="23"/>
      <c r="M35" s="29" t="s">
        <v>113</v>
      </c>
      <c r="N35" s="24"/>
      <c r="O35" s="29" t="s">
        <v>102</v>
      </c>
      <c r="P35" s="26"/>
      <c r="Q35" s="26"/>
      <c r="R35" s="26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ht="75.0" customHeight="1">
      <c r="A36" s="21" t="str">
        <f>IMAGE("https://lh3.googleusercontent.com/d/1NAeBDNhQSvPieGHXc_ACGrYWcjucS2Ml")</f>
        <v/>
      </c>
      <c r="B36" s="19" t="s">
        <v>114</v>
      </c>
      <c r="C36" s="19" t="s">
        <v>115</v>
      </c>
      <c r="D36" s="21"/>
      <c r="E36" s="24"/>
      <c r="F36" s="24"/>
      <c r="G36" s="24"/>
      <c r="H36" s="24"/>
      <c r="I36" s="24"/>
      <c r="J36" s="24"/>
      <c r="K36" s="24"/>
      <c r="L36" s="23"/>
      <c r="M36" s="29" t="s">
        <v>116</v>
      </c>
      <c r="N36" s="24"/>
      <c r="O36" s="29" t="s">
        <v>102</v>
      </c>
      <c r="P36" s="26"/>
      <c r="Q36" s="26"/>
      <c r="R36" s="26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ht="75.0" customHeight="1">
      <c r="A37" s="32" t="str">
        <f>IMAGE("https://lh3.googleusercontent.com/d/10NxHTGhowwQprbqdyczYn-pZArDVdgiJ")</f>
        <v/>
      </c>
      <c r="B37" s="19" t="s">
        <v>117</v>
      </c>
      <c r="C37" s="19" t="s">
        <v>118</v>
      </c>
      <c r="D37" s="21"/>
      <c r="E37" s="21"/>
      <c r="F37" s="22">
        <v>1.0</v>
      </c>
      <c r="G37" s="22">
        <v>4.0</v>
      </c>
      <c r="H37" s="22">
        <v>4.0</v>
      </c>
      <c r="I37" s="22">
        <v>2.0</v>
      </c>
      <c r="J37" s="24"/>
      <c r="K37" s="22">
        <v>12.0</v>
      </c>
      <c r="L37" s="23">
        <v>11.0</v>
      </c>
      <c r="M37" s="29" t="s">
        <v>119</v>
      </c>
      <c r="N37" s="24"/>
      <c r="O37" s="29" t="s">
        <v>102</v>
      </c>
      <c r="P37" s="26"/>
      <c r="Q37" s="26"/>
      <c r="R37" s="26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75.0" customHeight="1">
      <c r="A38" s="32" t="str">
        <f>IMAGE("https://lh3.googleusercontent.com/d/1gvIXNGA1dZFIg3ZPwhkT6MwNRigKLPIf")</f>
        <v/>
      </c>
      <c r="B38" s="19" t="s">
        <v>120</v>
      </c>
      <c r="C38" s="19" t="s">
        <v>121</v>
      </c>
      <c r="D38" s="21"/>
      <c r="E38" s="33"/>
      <c r="F38" s="34"/>
      <c r="G38" s="35"/>
      <c r="H38" s="24"/>
      <c r="I38" s="24"/>
      <c r="J38" s="24"/>
      <c r="K38" s="24"/>
      <c r="L38" s="23"/>
      <c r="M38" s="24"/>
      <c r="N38" s="24"/>
      <c r="O38" s="29" t="s">
        <v>102</v>
      </c>
      <c r="P38" s="26"/>
      <c r="Q38" s="26"/>
      <c r="R38" s="26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ht="75.0" customHeight="1">
      <c r="A39" s="32" t="str">
        <f>IMAGE("https://lh3.googleusercontent.com/d/1de5V_VE2kIMpW_gN22pRy6abBxNhZ9CH")</f>
        <v/>
      </c>
      <c r="B39" s="19" t="s">
        <v>122</v>
      </c>
      <c r="C39" s="19" t="s">
        <v>123</v>
      </c>
      <c r="D39" s="21"/>
      <c r="E39" s="21"/>
      <c r="F39" s="34"/>
      <c r="G39" s="36"/>
      <c r="H39" s="35"/>
      <c r="I39" s="24"/>
      <c r="J39" s="24"/>
      <c r="K39" s="24"/>
      <c r="L39" s="23"/>
      <c r="M39" s="24"/>
      <c r="N39" s="24"/>
      <c r="O39" s="29" t="s">
        <v>102</v>
      </c>
      <c r="P39" s="26"/>
      <c r="Q39" s="26"/>
      <c r="R39" s="26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ht="75.0" customHeight="1">
      <c r="A40" s="32" t="str">
        <f>IMAGE("https://lh3.googleusercontent.com/d/14BTtS_clijDIXbf9OJj28A5NPIudFeAE")</f>
        <v/>
      </c>
      <c r="B40" s="37" t="s">
        <v>124</v>
      </c>
      <c r="C40" s="19" t="s">
        <v>125</v>
      </c>
      <c r="D40" s="21"/>
      <c r="E40" s="21"/>
      <c r="F40" s="22">
        <v>2.0</v>
      </c>
      <c r="G40" s="22">
        <v>0.0</v>
      </c>
      <c r="H40" s="22">
        <v>1.0</v>
      </c>
      <c r="I40" s="22">
        <v>0.0</v>
      </c>
      <c r="J40" s="21"/>
      <c r="K40" s="22">
        <v>10.0</v>
      </c>
      <c r="L40" s="23">
        <v>3.0</v>
      </c>
      <c r="M40" s="29" t="s">
        <v>57</v>
      </c>
      <c r="N40" s="24"/>
      <c r="O40" s="29" t="s">
        <v>126</v>
      </c>
      <c r="P40" s="27" t="s">
        <v>59</v>
      </c>
      <c r="Q40" s="27" t="s">
        <v>20</v>
      </c>
      <c r="R40" s="26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75.0" customHeight="1">
      <c r="A41" s="32" t="str">
        <f>IMAGE("https://lh3.googleusercontent.com/d/11F0jEfCYfH5RoEbvL7HTUbilp1RXtVGS")</f>
        <v/>
      </c>
      <c r="B41" s="19" t="s">
        <v>127</v>
      </c>
      <c r="C41" s="19" t="s">
        <v>128</v>
      </c>
      <c r="D41" s="21"/>
      <c r="E41" s="21"/>
      <c r="F41" s="22">
        <v>1.0</v>
      </c>
      <c r="G41" s="22">
        <v>3.0</v>
      </c>
      <c r="H41" s="22">
        <v>3.0</v>
      </c>
      <c r="I41" s="22">
        <v>1.0</v>
      </c>
      <c r="J41" s="21"/>
      <c r="K41" s="22">
        <v>10.0</v>
      </c>
      <c r="L41" s="23">
        <v>8.0</v>
      </c>
      <c r="M41" s="29" t="s">
        <v>129</v>
      </c>
      <c r="N41" s="24"/>
      <c r="O41" s="29" t="s">
        <v>126</v>
      </c>
      <c r="P41" s="26"/>
      <c r="Q41" s="27" t="s">
        <v>20</v>
      </c>
      <c r="R41" s="26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ht="75.0" customHeight="1">
      <c r="A42" s="32" t="str">
        <f>IMAGE("https://lh3.googleusercontent.com/d/1OoypXMmBugiMkiULesmPgmCYwHiH-LM-")</f>
        <v/>
      </c>
      <c r="B42" s="19" t="s">
        <v>130</v>
      </c>
      <c r="C42" s="19" t="s">
        <v>131</v>
      </c>
      <c r="D42" s="21"/>
      <c r="E42" s="21"/>
      <c r="F42" s="22">
        <v>2.0</v>
      </c>
      <c r="G42" s="22">
        <v>1.0</v>
      </c>
      <c r="H42" s="22">
        <v>0.0</v>
      </c>
      <c r="I42" s="22">
        <v>2.0</v>
      </c>
      <c r="J42" s="21"/>
      <c r="K42" s="22">
        <v>10.0</v>
      </c>
      <c r="L42" s="23">
        <v>5.0</v>
      </c>
      <c r="M42" s="29" t="s">
        <v>132</v>
      </c>
      <c r="N42" s="24"/>
      <c r="O42" s="29" t="s">
        <v>126</v>
      </c>
      <c r="P42" s="26"/>
      <c r="Q42" s="27" t="s">
        <v>20</v>
      </c>
      <c r="R42" s="26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ht="75.0" customHeight="1">
      <c r="A43" s="32" t="str">
        <f>IMAGE("https://lh3.googleusercontent.com/d/1uW2nDJLUFgjv4TldODnDn8pydM4IkqUu")</f>
        <v/>
      </c>
      <c r="B43" s="19" t="s">
        <v>133</v>
      </c>
      <c r="C43" s="19" t="s">
        <v>134</v>
      </c>
      <c r="D43" s="21"/>
      <c r="E43" s="21"/>
      <c r="F43" s="22">
        <v>2.0</v>
      </c>
      <c r="G43" s="22">
        <v>3.0</v>
      </c>
      <c r="H43" s="22">
        <v>3.0</v>
      </c>
      <c r="I43" s="22">
        <v>2.0</v>
      </c>
      <c r="J43" s="21"/>
      <c r="K43" s="22">
        <v>10.0</v>
      </c>
      <c r="L43" s="23">
        <v>10.0</v>
      </c>
      <c r="M43" s="29" t="s">
        <v>135</v>
      </c>
      <c r="N43" s="24"/>
      <c r="O43" s="29" t="s">
        <v>126</v>
      </c>
      <c r="P43" s="26"/>
      <c r="Q43" s="26"/>
      <c r="R43" s="26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75.0" customHeight="1">
      <c r="A44" s="32" t="str">
        <f>IMAGE("https://lh3.googleusercontent.com/d/1PQ0PHbcVZJrfBTspGaRXLb9PCb4f4HiZ")</f>
        <v/>
      </c>
      <c r="B44" s="19" t="s">
        <v>136</v>
      </c>
      <c r="C44" s="19" t="s">
        <v>137</v>
      </c>
      <c r="D44" s="21"/>
      <c r="E44" s="21"/>
      <c r="F44" s="22">
        <v>1.0</v>
      </c>
      <c r="G44" s="22">
        <v>2.0</v>
      </c>
      <c r="H44" s="22">
        <v>2.0</v>
      </c>
      <c r="I44" s="22">
        <v>1.0</v>
      </c>
      <c r="J44" s="21"/>
      <c r="K44" s="22">
        <v>8.0</v>
      </c>
      <c r="L44" s="23">
        <v>6.0</v>
      </c>
      <c r="M44" s="29" t="s">
        <v>81</v>
      </c>
      <c r="N44" s="24"/>
      <c r="O44" s="29" t="s">
        <v>126</v>
      </c>
      <c r="P44" s="26"/>
      <c r="Q44" s="27" t="s">
        <v>20</v>
      </c>
      <c r="R44" s="26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ht="75.0" customHeight="1">
      <c r="A45" s="32" t="str">
        <f>IMAGE("https://lh3.googleusercontent.com/d/11EIe_6oIibHbd37JqMpcVH8GBR7oNXU5")</f>
        <v/>
      </c>
      <c r="B45" s="19" t="s">
        <v>138</v>
      </c>
      <c r="C45" s="19" t="s">
        <v>139</v>
      </c>
      <c r="D45" s="21"/>
      <c r="E45" s="21"/>
      <c r="F45" s="22">
        <v>2.0</v>
      </c>
      <c r="G45" s="22">
        <v>4.0</v>
      </c>
      <c r="H45" s="22">
        <v>3.0</v>
      </c>
      <c r="I45" s="22">
        <v>0.0</v>
      </c>
      <c r="J45" s="21"/>
      <c r="K45" s="22">
        <v>10.0</v>
      </c>
      <c r="L45" s="23">
        <v>9.0</v>
      </c>
      <c r="M45" s="29" t="s">
        <v>140</v>
      </c>
      <c r="N45" s="24"/>
      <c r="O45" s="29" t="s">
        <v>126</v>
      </c>
      <c r="P45" s="26"/>
      <c r="Q45" s="27" t="s">
        <v>20</v>
      </c>
      <c r="R45" s="26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ht="75.0" customHeight="1">
      <c r="A46" s="32" t="str">
        <f>IMAGE("https://lh3.googleusercontent.com/d/1ZhRoeie6rGvHAU4PmNyOpLK7MtzeAvC4")</f>
        <v/>
      </c>
      <c r="B46" s="19" t="s">
        <v>141</v>
      </c>
      <c r="C46" s="19" t="s">
        <v>142</v>
      </c>
      <c r="D46" s="21"/>
      <c r="E46" s="21"/>
      <c r="F46" s="22">
        <v>1.0</v>
      </c>
      <c r="G46" s="22">
        <v>1.0</v>
      </c>
      <c r="H46" s="22">
        <v>1.0</v>
      </c>
      <c r="I46" s="22">
        <v>0.0</v>
      </c>
      <c r="J46" s="21"/>
      <c r="K46" s="22">
        <v>10.0</v>
      </c>
      <c r="L46" s="23">
        <v>3.0</v>
      </c>
      <c r="M46" s="29" t="s">
        <v>143</v>
      </c>
      <c r="N46" s="24"/>
      <c r="O46" s="29" t="s">
        <v>144</v>
      </c>
      <c r="P46" s="27" t="s">
        <v>59</v>
      </c>
      <c r="Q46" s="26"/>
      <c r="R46" s="26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75.0" customHeight="1">
      <c r="A47" s="21" t="str">
        <f>IMAGE("https://lh3.googleusercontent.com/d/1P2x83dmQ4ihWJeVRrpFdOsDt2_1q3AmG")</f>
        <v/>
      </c>
      <c r="B47" s="19" t="s">
        <v>145</v>
      </c>
      <c r="C47" s="19" t="s">
        <v>146</v>
      </c>
      <c r="D47" s="21"/>
      <c r="E47" s="21"/>
      <c r="F47" s="22">
        <v>2.0</v>
      </c>
      <c r="G47" s="22">
        <v>0.0</v>
      </c>
      <c r="H47" s="22">
        <v>1.0</v>
      </c>
      <c r="I47" s="22">
        <v>0.0</v>
      </c>
      <c r="J47" s="21"/>
      <c r="K47" s="22">
        <v>10.0</v>
      </c>
      <c r="L47" s="23">
        <v>2.0</v>
      </c>
      <c r="M47" s="29" t="s">
        <v>147</v>
      </c>
      <c r="N47" s="24"/>
      <c r="O47" s="29" t="s">
        <v>144</v>
      </c>
      <c r="P47" s="26"/>
      <c r="Q47" s="27" t="s">
        <v>20</v>
      </c>
      <c r="R47" s="26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ht="75.0" customHeight="1">
      <c r="A48" s="21" t="str">
        <f>IMAGE("https://lh3.googleusercontent.com/d/1H0G27u-tSmEvtobXnsyPcjCRnY4rOAWK")</f>
        <v/>
      </c>
      <c r="B48" s="19" t="s">
        <v>148</v>
      </c>
      <c r="C48" s="19" t="s">
        <v>149</v>
      </c>
      <c r="D48" s="21"/>
      <c r="E48" s="21"/>
      <c r="F48" s="22">
        <v>1.0</v>
      </c>
      <c r="G48" s="22">
        <v>1.0</v>
      </c>
      <c r="H48" s="22">
        <v>0.0</v>
      </c>
      <c r="I48" s="22">
        <v>0.0</v>
      </c>
      <c r="J48" s="21"/>
      <c r="K48" s="22">
        <v>8.0</v>
      </c>
      <c r="L48" s="23">
        <v>2.0</v>
      </c>
      <c r="M48" s="29" t="s">
        <v>150</v>
      </c>
      <c r="N48" s="24"/>
      <c r="O48" s="29" t="s">
        <v>151</v>
      </c>
      <c r="P48" s="26"/>
      <c r="Q48" s="26"/>
      <c r="R48" s="26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ht="75.0" customHeight="1">
      <c r="A49" s="21" t="str">
        <f>IMAGE("https://lh3.googleusercontent.com/d/1VEjr6V5Wy552Bz_iGMlZx-RdXls15XgK")</f>
        <v/>
      </c>
      <c r="B49" s="19" t="s">
        <v>152</v>
      </c>
      <c r="C49" s="19" t="s">
        <v>153</v>
      </c>
      <c r="D49" s="21"/>
      <c r="E49" s="21"/>
      <c r="F49" s="22">
        <v>2.0</v>
      </c>
      <c r="G49" s="22">
        <v>3.0</v>
      </c>
      <c r="H49" s="22">
        <v>2.0</v>
      </c>
      <c r="I49" s="22">
        <v>1.0</v>
      </c>
      <c r="J49" s="21"/>
      <c r="K49" s="22">
        <v>10.0</v>
      </c>
      <c r="L49" s="23">
        <v>8.0</v>
      </c>
      <c r="M49" s="29" t="s">
        <v>150</v>
      </c>
      <c r="N49" s="24"/>
      <c r="O49" s="29" t="s">
        <v>151</v>
      </c>
      <c r="P49" s="26"/>
      <c r="Q49" s="27" t="s">
        <v>20</v>
      </c>
      <c r="R49" s="26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75.0" customHeight="1">
      <c r="A50" s="21" t="str">
        <f>IMAGE("https://lh3.googleusercontent.com/d/1mCKkPhgr_mh2M82Pehb0K8OhW7_TCPA_")</f>
        <v/>
      </c>
      <c r="B50" s="19" t="s">
        <v>154</v>
      </c>
      <c r="C50" s="19" t="s">
        <v>155</v>
      </c>
      <c r="D50" s="21"/>
      <c r="E50" s="21"/>
      <c r="F50" s="22">
        <v>1.0</v>
      </c>
      <c r="G50" s="22">
        <v>2.0</v>
      </c>
      <c r="H50" s="22">
        <v>2.0</v>
      </c>
      <c r="I50" s="22">
        <v>1.0</v>
      </c>
      <c r="J50" s="21"/>
      <c r="K50" s="22">
        <v>8.0</v>
      </c>
      <c r="L50" s="23">
        <v>6.0</v>
      </c>
      <c r="M50" s="29" t="s">
        <v>156</v>
      </c>
      <c r="N50" s="24"/>
      <c r="O50" s="29" t="s">
        <v>157</v>
      </c>
      <c r="P50" s="26"/>
      <c r="Q50" s="26"/>
      <c r="R50" s="26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ht="75.0" customHeight="1">
      <c r="A51" s="21" t="str">
        <f>IMAGE("https://lh3.googleusercontent.com/d/1fE_nxc8q-7dfb7G5rQGdRJDTBMI-VqGO")</f>
        <v/>
      </c>
      <c r="B51" s="19" t="s">
        <v>158</v>
      </c>
      <c r="C51" s="19" t="s">
        <v>159</v>
      </c>
      <c r="D51" s="21"/>
      <c r="E51" s="21"/>
      <c r="F51" s="22">
        <v>0.0</v>
      </c>
      <c r="G51" s="22">
        <v>2.0</v>
      </c>
      <c r="H51" s="22">
        <v>3.0</v>
      </c>
      <c r="I51" s="22">
        <v>2.0</v>
      </c>
      <c r="J51" s="21"/>
      <c r="K51" s="22">
        <v>10.0</v>
      </c>
      <c r="L51" s="23">
        <v>7.0</v>
      </c>
      <c r="M51" s="29" t="s">
        <v>156</v>
      </c>
      <c r="N51" s="24"/>
      <c r="O51" s="29" t="s">
        <v>157</v>
      </c>
      <c r="P51" s="27" t="s">
        <v>59</v>
      </c>
      <c r="Q51" s="26"/>
      <c r="R51" s="26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ht="86.25" customHeight="1">
      <c r="A52" s="21"/>
      <c r="B52" s="19" t="s">
        <v>160</v>
      </c>
      <c r="C52" s="19" t="s">
        <v>161</v>
      </c>
      <c r="D52" s="21"/>
      <c r="E52" s="21"/>
      <c r="F52" s="22">
        <v>3.0</v>
      </c>
      <c r="G52" s="22">
        <v>0.0</v>
      </c>
      <c r="H52" s="22">
        <v>1.0</v>
      </c>
      <c r="I52" s="22">
        <v>2.0</v>
      </c>
      <c r="J52" s="21"/>
      <c r="K52" s="22">
        <v>8.0</v>
      </c>
      <c r="L52" s="23">
        <v>6.0</v>
      </c>
      <c r="M52" s="29" t="s">
        <v>156</v>
      </c>
      <c r="N52" s="24"/>
      <c r="O52" s="29" t="s">
        <v>157</v>
      </c>
      <c r="P52" s="26"/>
      <c r="Q52" s="26"/>
      <c r="R52" s="26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75.0" customHeight="1">
      <c r="A53" s="21" t="str">
        <f>IMAGE("https://lh3.googleusercontent.com/d/10OyJhTyDleH-BQTkRBn6Lt8WelOT74Qp")</f>
        <v/>
      </c>
      <c r="B53" s="19" t="s">
        <v>162</v>
      </c>
      <c r="C53" s="19" t="s">
        <v>163</v>
      </c>
      <c r="D53" s="21"/>
      <c r="E53" s="21"/>
      <c r="F53" s="22">
        <v>2.0</v>
      </c>
      <c r="G53" s="22">
        <v>2.0</v>
      </c>
      <c r="H53" s="22">
        <v>0.0</v>
      </c>
      <c r="I53" s="22">
        <v>1.0</v>
      </c>
      <c r="J53" s="21"/>
      <c r="K53" s="22">
        <v>8.0</v>
      </c>
      <c r="L53" s="23">
        <v>5.0</v>
      </c>
      <c r="M53" s="29" t="s">
        <v>164</v>
      </c>
      <c r="N53" s="24"/>
      <c r="O53" s="29" t="s">
        <v>165</v>
      </c>
      <c r="P53" s="26"/>
      <c r="Q53" s="26"/>
      <c r="R53" s="26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ht="75.0" customHeight="1">
      <c r="A54" s="21" t="str">
        <f>IMAGE("https://lh3.googleusercontent.com/d/1mpsMopQfB1GYL5Hqu5cCxzjtJEWhN7st")</f>
        <v/>
      </c>
      <c r="B54" s="19" t="s">
        <v>166</v>
      </c>
      <c r="C54" s="19" t="s">
        <v>167</v>
      </c>
      <c r="D54" s="21"/>
      <c r="E54" s="21"/>
      <c r="F54" s="22">
        <v>1.0</v>
      </c>
      <c r="G54" s="22">
        <v>3.0</v>
      </c>
      <c r="H54" s="22">
        <v>2.0</v>
      </c>
      <c r="I54" s="22">
        <v>1.0</v>
      </c>
      <c r="J54" s="21"/>
      <c r="K54" s="22">
        <v>10.0</v>
      </c>
      <c r="L54" s="23">
        <v>7.0</v>
      </c>
      <c r="M54" s="29" t="s">
        <v>168</v>
      </c>
      <c r="N54" s="24"/>
      <c r="O54" s="29" t="s">
        <v>169</v>
      </c>
      <c r="P54" s="27" t="s">
        <v>59</v>
      </c>
      <c r="Q54" s="27" t="s">
        <v>20</v>
      </c>
      <c r="R54" s="26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ht="75.0" customHeight="1">
      <c r="A55" s="21" t="str">
        <f>IMAGE("https://lh3.googleusercontent.com/d/1SEE2b_5ujD_6vjaGr_M88_KMzjpTKI-R")</f>
        <v/>
      </c>
      <c r="B55" s="19" t="s">
        <v>170</v>
      </c>
      <c r="C55" s="19" t="s">
        <v>171</v>
      </c>
      <c r="D55" s="21"/>
      <c r="E55" s="21"/>
      <c r="F55" s="22">
        <v>1.0</v>
      </c>
      <c r="G55" s="22">
        <v>1.0</v>
      </c>
      <c r="H55" s="22">
        <v>2.0</v>
      </c>
      <c r="I55" s="22">
        <v>0.0</v>
      </c>
      <c r="J55" s="21"/>
      <c r="K55" s="22">
        <v>10.0</v>
      </c>
      <c r="L55" s="23">
        <v>4.0</v>
      </c>
      <c r="M55" s="29" t="s">
        <v>172</v>
      </c>
      <c r="N55" s="24"/>
      <c r="O55" s="29" t="s">
        <v>169</v>
      </c>
      <c r="P55" s="26"/>
      <c r="Q55" s="26"/>
      <c r="R55" s="26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74.25" customHeight="1">
      <c r="A56" s="21" t="str">
        <f>IMAGE("https://lh3.googleusercontent.com/d/1WE90l7IQxhS4KRjrBcA4iWCuEJyJXqg6")</f>
        <v/>
      </c>
      <c r="B56" s="19" t="s">
        <v>173</v>
      </c>
      <c r="C56" s="19" t="s">
        <v>174</v>
      </c>
      <c r="D56" s="21"/>
      <c r="E56" s="21"/>
      <c r="F56" s="22">
        <v>2.0</v>
      </c>
      <c r="G56" s="22">
        <v>3.0</v>
      </c>
      <c r="H56" s="22">
        <v>3.0</v>
      </c>
      <c r="I56" s="22">
        <v>2.0</v>
      </c>
      <c r="J56" s="21"/>
      <c r="K56" s="22">
        <v>10.0</v>
      </c>
      <c r="L56" s="23">
        <v>10.0</v>
      </c>
      <c r="M56" s="29" t="s">
        <v>172</v>
      </c>
      <c r="N56" s="24"/>
      <c r="O56" s="29" t="s">
        <v>169</v>
      </c>
      <c r="P56" s="26"/>
      <c r="Q56" s="26"/>
      <c r="R56" s="26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ht="75.0" customHeight="1">
      <c r="A57" s="21" t="str">
        <f>IMAGE("https://lh3.googleusercontent.com/d/1AOWGjY5xQVHvAlkz37a3rpT4N6e0vPgl")</f>
        <v/>
      </c>
      <c r="B57" s="19" t="s">
        <v>175</v>
      </c>
      <c r="C57" s="19" t="s">
        <v>176</v>
      </c>
      <c r="D57" s="21"/>
      <c r="E57" s="21"/>
      <c r="F57" s="22">
        <v>2.0</v>
      </c>
      <c r="G57" s="22">
        <v>3.0</v>
      </c>
      <c r="H57" s="22">
        <v>3.0</v>
      </c>
      <c r="I57" s="22">
        <v>1.0</v>
      </c>
      <c r="J57" s="21"/>
      <c r="K57" s="22">
        <v>10.0</v>
      </c>
      <c r="L57" s="23">
        <v>9.0</v>
      </c>
      <c r="M57" s="29" t="s">
        <v>172</v>
      </c>
      <c r="N57" s="24"/>
      <c r="O57" s="29" t="s">
        <v>169</v>
      </c>
      <c r="P57" s="26"/>
      <c r="Q57" s="26"/>
      <c r="R57" s="26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ht="75.0" customHeight="1">
      <c r="A58" s="21" t="str">
        <f>IMAGE("https://lh3.googleusercontent.com/d/1uYDeLHR9yRsavfEmGa3rE9n8AfoasPNo")</f>
        <v/>
      </c>
      <c r="B58" s="19" t="s">
        <v>177</v>
      </c>
      <c r="C58" s="19" t="s">
        <v>178</v>
      </c>
      <c r="D58" s="21"/>
      <c r="E58" s="21"/>
      <c r="F58" s="22">
        <v>2.0</v>
      </c>
      <c r="G58" s="22">
        <v>2.0</v>
      </c>
      <c r="H58" s="22">
        <v>1.0</v>
      </c>
      <c r="I58" s="22">
        <v>2.0</v>
      </c>
      <c r="J58" s="21"/>
      <c r="K58" s="22">
        <v>10.0</v>
      </c>
      <c r="L58" s="23">
        <v>7.0</v>
      </c>
      <c r="M58" s="29" t="s">
        <v>179</v>
      </c>
      <c r="N58" s="24"/>
      <c r="O58" s="29" t="s">
        <v>169</v>
      </c>
      <c r="P58" s="26"/>
      <c r="Q58" s="26"/>
      <c r="R58" s="26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75.0" customHeight="1">
      <c r="A59" s="21" t="str">
        <f>IMAGE("https://lh3.googleusercontent.com/d/1PNTXnPxE-V1eGry_Z0domO4V7jgelDNi")</f>
        <v/>
      </c>
      <c r="B59" s="19" t="s">
        <v>180</v>
      </c>
      <c r="C59" s="19" t="s">
        <v>181</v>
      </c>
      <c r="D59" s="21"/>
      <c r="E59" s="21"/>
      <c r="F59" s="22">
        <v>1.0</v>
      </c>
      <c r="G59" s="22">
        <v>2.0</v>
      </c>
      <c r="H59" s="22">
        <v>1.0</v>
      </c>
      <c r="I59" s="22">
        <v>1.0</v>
      </c>
      <c r="J59" s="21"/>
      <c r="K59" s="22">
        <v>10.0</v>
      </c>
      <c r="L59" s="23">
        <v>5.0</v>
      </c>
      <c r="M59" s="29" t="s">
        <v>182</v>
      </c>
      <c r="N59" s="24"/>
      <c r="O59" s="29" t="s">
        <v>169</v>
      </c>
      <c r="P59" s="27" t="s">
        <v>59</v>
      </c>
      <c r="Q59" s="26"/>
      <c r="R59" s="26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ht="75.0" customHeight="1">
      <c r="A60" s="21" t="str">
        <f>IMAGE("https://lh3.googleusercontent.com/d/1eQ7HWvEpA-mtch_aqB7o2V-j_GCTzIPQ")</f>
        <v/>
      </c>
      <c r="B60" s="19" t="s">
        <v>183</v>
      </c>
      <c r="C60" s="19" t="s">
        <v>184</v>
      </c>
      <c r="D60" s="21"/>
      <c r="E60" s="21"/>
      <c r="F60" s="22">
        <v>0.0</v>
      </c>
      <c r="G60" s="22">
        <v>3.0</v>
      </c>
      <c r="H60" s="22">
        <v>2.0</v>
      </c>
      <c r="I60" s="22">
        <v>0.0</v>
      </c>
      <c r="J60" s="21"/>
      <c r="K60" s="22">
        <v>10.0</v>
      </c>
      <c r="L60" s="23">
        <v>5.0</v>
      </c>
      <c r="M60" s="29" t="s">
        <v>185</v>
      </c>
      <c r="N60" s="24"/>
      <c r="O60" s="29" t="s">
        <v>186</v>
      </c>
      <c r="P60" s="26"/>
      <c r="Q60" s="26"/>
      <c r="R60" s="26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ht="75.0" customHeight="1">
      <c r="A61" s="21" t="str">
        <f>IMAGE("https://lh3.googleusercontent.com/d/1ChkLIJlFFEbKmGV50QqBO6Cxe7Cd4vgo")</f>
        <v/>
      </c>
      <c r="B61" s="19" t="s">
        <v>187</v>
      </c>
      <c r="C61" s="19" t="s">
        <v>188</v>
      </c>
      <c r="D61" s="21"/>
      <c r="E61" s="21"/>
      <c r="F61" s="22">
        <v>1.0</v>
      </c>
      <c r="G61" s="22">
        <v>1.0</v>
      </c>
      <c r="H61" s="22">
        <v>3.0</v>
      </c>
      <c r="I61" s="22">
        <v>1.0</v>
      </c>
      <c r="J61" s="21"/>
      <c r="K61" s="22">
        <v>10.0</v>
      </c>
      <c r="L61" s="23">
        <v>6.0</v>
      </c>
      <c r="M61" s="29" t="s">
        <v>189</v>
      </c>
      <c r="N61" s="24"/>
      <c r="O61" s="29" t="s">
        <v>186</v>
      </c>
      <c r="P61" s="26"/>
      <c r="Q61" s="26"/>
      <c r="R61" s="26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75.0" customHeight="1">
      <c r="A62" s="21" t="str">
        <f>IMAGE("https://lh3.googleusercontent.com/d/1CmMrhumcsY1jtxGibUTr4XUvjqAmoVlw")</f>
        <v/>
      </c>
      <c r="B62" s="19" t="s">
        <v>190</v>
      </c>
      <c r="C62" s="19" t="s">
        <v>191</v>
      </c>
      <c r="D62" s="21"/>
      <c r="E62" s="21"/>
      <c r="F62" s="22">
        <v>2.0</v>
      </c>
      <c r="G62" s="22">
        <v>4.0</v>
      </c>
      <c r="H62" s="22">
        <v>4.0</v>
      </c>
      <c r="I62" s="22">
        <v>1.0</v>
      </c>
      <c r="J62" s="21"/>
      <c r="K62" s="22">
        <v>12.0</v>
      </c>
      <c r="L62" s="23">
        <v>11.0</v>
      </c>
      <c r="M62" s="29" t="s">
        <v>69</v>
      </c>
      <c r="N62" s="24"/>
      <c r="O62" s="29" t="s">
        <v>192</v>
      </c>
      <c r="P62" s="27" t="s">
        <v>20</v>
      </c>
      <c r="Q62" s="26"/>
      <c r="R62" s="26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ht="75.0" customHeight="1">
      <c r="A63" s="21" t="str">
        <f>IMAGE("https://lh3.googleusercontent.com/d/13pDM5IOOGX_iMzwIghHusHDfMFiKRrN5")</f>
        <v/>
      </c>
      <c r="B63" s="19" t="s">
        <v>193</v>
      </c>
      <c r="C63" s="19" t="s">
        <v>194</v>
      </c>
      <c r="D63" s="21"/>
      <c r="E63" s="21"/>
      <c r="F63" s="22">
        <v>0.0</v>
      </c>
      <c r="G63" s="22">
        <v>4.0</v>
      </c>
      <c r="H63" s="22">
        <v>4.0</v>
      </c>
      <c r="I63" s="22">
        <v>1.0</v>
      </c>
      <c r="J63" s="21"/>
      <c r="K63" s="22">
        <v>14.0</v>
      </c>
      <c r="L63" s="23">
        <v>9.0</v>
      </c>
      <c r="M63" s="29" t="s">
        <v>195</v>
      </c>
      <c r="N63" s="24"/>
      <c r="O63" s="29" t="s">
        <v>196</v>
      </c>
      <c r="P63" s="26"/>
      <c r="Q63" s="26"/>
      <c r="R63" s="26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ht="75.0" customHeight="1">
      <c r="A64" s="21" t="str">
        <f>IMAGE("https://lh3.googleusercontent.com/d/1KiTylolJaKTqoDLvcD11Ko8I3yDgspgY")</f>
        <v/>
      </c>
      <c r="B64" s="19" t="s">
        <v>197</v>
      </c>
      <c r="C64" s="19" t="s">
        <v>198</v>
      </c>
      <c r="D64" s="21"/>
      <c r="E64" s="21"/>
      <c r="F64" s="22">
        <v>2.0</v>
      </c>
      <c r="G64" s="22">
        <v>4.0</v>
      </c>
      <c r="H64" s="22">
        <v>4.0</v>
      </c>
      <c r="I64" s="22">
        <v>2.0</v>
      </c>
      <c r="J64" s="21"/>
      <c r="K64" s="22">
        <v>12.0</v>
      </c>
      <c r="L64" s="23">
        <v>12.0</v>
      </c>
      <c r="M64" s="29" t="s">
        <v>199</v>
      </c>
      <c r="N64" s="24"/>
      <c r="O64" s="29" t="s">
        <v>192</v>
      </c>
      <c r="P64" s="26"/>
      <c r="Q64" s="26"/>
      <c r="R64" s="26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75.0" customHeight="1">
      <c r="A65" s="21" t="str">
        <f>IMAGE("https://lh3.googleusercontent.com/d/1IwjbzwBvVPOEWrZ5XeSi99z8ICEhKlvk")</f>
        <v/>
      </c>
      <c r="B65" s="19" t="s">
        <v>200</v>
      </c>
      <c r="C65" s="19" t="s">
        <v>201</v>
      </c>
      <c r="D65" s="21"/>
      <c r="E65" s="21"/>
      <c r="F65" s="22">
        <v>1.0</v>
      </c>
      <c r="G65" s="22">
        <v>1.0</v>
      </c>
      <c r="H65" s="22">
        <v>3.0</v>
      </c>
      <c r="I65" s="22">
        <v>1.0</v>
      </c>
      <c r="J65" s="21"/>
      <c r="K65" s="22">
        <v>12.0</v>
      </c>
      <c r="L65" s="23">
        <v>6.0</v>
      </c>
      <c r="M65" s="29" t="s">
        <v>202</v>
      </c>
      <c r="N65" s="24"/>
      <c r="O65" s="29" t="s">
        <v>203</v>
      </c>
      <c r="P65" s="26"/>
      <c r="Q65" s="26"/>
      <c r="R65" s="26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ht="75.0" customHeight="1">
      <c r="A66" s="32" t="str">
        <f>IMAGE("https://lh3.googleusercontent.com/d/1tg3dCU55pisErI4Vun0L3Uk34CmNGjwX")</f>
        <v/>
      </c>
      <c r="B66" s="19" t="s">
        <v>204</v>
      </c>
      <c r="C66" s="19" t="s">
        <v>205</v>
      </c>
      <c r="D66" s="21"/>
      <c r="E66" s="21"/>
      <c r="F66" s="22">
        <v>2.0</v>
      </c>
      <c r="G66" s="22">
        <v>2.0</v>
      </c>
      <c r="H66" s="22">
        <v>3.0</v>
      </c>
      <c r="I66" s="22">
        <v>2.0</v>
      </c>
      <c r="J66" s="21"/>
      <c r="K66" s="22">
        <v>12.0</v>
      </c>
      <c r="L66" s="23">
        <v>9.0</v>
      </c>
      <c r="M66" s="29" t="s">
        <v>206</v>
      </c>
      <c r="N66" s="24"/>
      <c r="O66" s="29" t="s">
        <v>192</v>
      </c>
      <c r="P66" s="26"/>
      <c r="Q66" s="26"/>
      <c r="R66" s="26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ht="75.0" customHeight="1">
      <c r="A67" s="21" t="str">
        <f>IMAGE("https://lh3.googleusercontent.com/d/1bxLaj2PO2uEYIc_hax0Kq7L1kotB1t1Z")</f>
        <v/>
      </c>
      <c r="B67" s="19" t="s">
        <v>207</v>
      </c>
      <c r="C67" s="19" t="s">
        <v>208</v>
      </c>
      <c r="D67" s="21"/>
      <c r="E67" s="21"/>
      <c r="F67" s="22">
        <v>1.0</v>
      </c>
      <c r="G67" s="22">
        <v>2.0</v>
      </c>
      <c r="H67" s="22">
        <v>3.0</v>
      </c>
      <c r="I67" s="22">
        <v>2.0</v>
      </c>
      <c r="J67" s="21"/>
      <c r="K67" s="22">
        <v>10.0</v>
      </c>
      <c r="L67" s="23">
        <v>8.0</v>
      </c>
      <c r="M67" s="29" t="s">
        <v>69</v>
      </c>
      <c r="N67" s="24"/>
      <c r="O67" s="29" t="s">
        <v>209</v>
      </c>
      <c r="P67" s="26"/>
      <c r="Q67" s="26"/>
      <c r="R67" s="26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75.0" customHeight="1">
      <c r="A68" s="21" t="str">
        <f>IMAGE("https://lh3.googleusercontent.com/d/1NfZgEMY0gf35XoNtApaYQjXp9hn25Cde")</f>
        <v/>
      </c>
      <c r="B68" s="19" t="s">
        <v>210</v>
      </c>
      <c r="C68" s="19" t="s">
        <v>211</v>
      </c>
      <c r="D68" s="21"/>
      <c r="E68" s="21"/>
      <c r="F68" s="22">
        <v>2.0</v>
      </c>
      <c r="G68" s="22">
        <v>2.0</v>
      </c>
      <c r="H68" s="22">
        <v>2.0</v>
      </c>
      <c r="I68" s="22">
        <v>1.0</v>
      </c>
      <c r="J68" s="21"/>
      <c r="K68" s="22">
        <v>10.0</v>
      </c>
      <c r="L68" s="23">
        <v>7.0</v>
      </c>
      <c r="M68" s="29" t="s">
        <v>212</v>
      </c>
      <c r="N68" s="24"/>
      <c r="O68" s="29" t="s">
        <v>209</v>
      </c>
      <c r="P68" s="27" t="s">
        <v>20</v>
      </c>
      <c r="Q68" s="26"/>
      <c r="R68" s="26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ht="75.0" customHeight="1">
      <c r="A69" s="21" t="str">
        <f>IMAGE("https://lh3.googleusercontent.com/d/1kvvGD5ETSLvfSbjizNCXrj8JqGo6L5mB")</f>
        <v/>
      </c>
      <c r="B69" s="19" t="s">
        <v>213</v>
      </c>
      <c r="C69" s="19" t="s">
        <v>214</v>
      </c>
      <c r="D69" s="21"/>
      <c r="E69" s="21"/>
      <c r="F69" s="22">
        <v>1.0</v>
      </c>
      <c r="G69" s="22">
        <v>3.0</v>
      </c>
      <c r="H69" s="22">
        <v>3.0</v>
      </c>
      <c r="I69" s="22">
        <v>2.0</v>
      </c>
      <c r="J69" s="21"/>
      <c r="K69" s="22">
        <v>10.0</v>
      </c>
      <c r="L69" s="23">
        <v>9.0</v>
      </c>
      <c r="M69" s="29" t="s">
        <v>215</v>
      </c>
      <c r="N69" s="24"/>
      <c r="O69" s="29" t="s">
        <v>209</v>
      </c>
      <c r="P69" s="26"/>
      <c r="Q69" s="26"/>
      <c r="R69" s="26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ht="75.0" customHeight="1">
      <c r="A70" s="21" t="str">
        <f>IMAGE("https://lh3.googleusercontent.com/d/1pn8Yoz5JCRmU5szmDqq55856Ar5ULnGM")</f>
        <v/>
      </c>
      <c r="B70" s="19" t="s">
        <v>216</v>
      </c>
      <c r="C70" s="19" t="s">
        <v>217</v>
      </c>
      <c r="D70" s="21"/>
      <c r="E70" s="21"/>
      <c r="F70" s="22">
        <v>2.0</v>
      </c>
      <c r="G70" s="22">
        <v>3.0</v>
      </c>
      <c r="H70" s="22">
        <v>3.0</v>
      </c>
      <c r="I70" s="22">
        <v>2.0</v>
      </c>
      <c r="J70" s="21"/>
      <c r="K70" s="22">
        <v>10.0</v>
      </c>
      <c r="L70" s="23">
        <v>10.0</v>
      </c>
      <c r="M70" s="29" t="s">
        <v>218</v>
      </c>
      <c r="N70" s="24"/>
      <c r="O70" s="29" t="s">
        <v>209</v>
      </c>
      <c r="P70" s="26"/>
      <c r="Q70" s="26"/>
      <c r="R70" s="26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75.0" customHeight="1">
      <c r="A71" s="21" t="str">
        <f>IMAGE("https://lh3.googleusercontent.com/d/1CfGqzx23ZB_l0B7MTjlg00QxSf9CVugk")</f>
        <v/>
      </c>
      <c r="B71" s="19" t="s">
        <v>219</v>
      </c>
      <c r="C71" s="19" t="s">
        <v>220</v>
      </c>
      <c r="D71" s="21"/>
      <c r="E71" s="21"/>
      <c r="F71" s="24"/>
      <c r="G71" s="24"/>
      <c r="H71" s="24"/>
      <c r="I71" s="24"/>
      <c r="J71" s="21"/>
      <c r="K71" s="24"/>
      <c r="L71" s="23"/>
      <c r="M71" s="29" t="s">
        <v>221</v>
      </c>
      <c r="N71" s="24"/>
      <c r="O71" s="29" t="s">
        <v>222</v>
      </c>
      <c r="P71" s="26"/>
      <c r="Q71" s="26"/>
      <c r="R71" s="26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ht="75.0" customHeight="1">
      <c r="A72" s="21" t="str">
        <f>IMAGE("https://lh3.googleusercontent.com/d/1AzrAXTK1wQk1z6JWo0f8WhoNiBj3LO-p")</f>
        <v/>
      </c>
      <c r="B72" s="19" t="s">
        <v>223</v>
      </c>
      <c r="C72" s="19" t="s">
        <v>224</v>
      </c>
      <c r="D72" s="21"/>
      <c r="E72" s="21"/>
      <c r="F72" s="22">
        <v>2.0</v>
      </c>
      <c r="G72" s="22">
        <v>2.0</v>
      </c>
      <c r="H72" s="22">
        <v>2.0</v>
      </c>
      <c r="I72" s="22">
        <v>2.0</v>
      </c>
      <c r="J72" s="21"/>
      <c r="K72" s="22">
        <v>10.0</v>
      </c>
      <c r="L72" s="23">
        <v>8.0</v>
      </c>
      <c r="M72" s="29" t="s">
        <v>225</v>
      </c>
      <c r="N72" s="24"/>
      <c r="O72" s="29" t="s">
        <v>222</v>
      </c>
      <c r="P72" s="26"/>
      <c r="Q72" s="26"/>
      <c r="R72" s="26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ht="75.0" customHeight="1">
      <c r="A73" s="21" t="str">
        <f>IMAGE("https://lh3.googleusercontent.com/d/17HCjdwqiQB1xIgXxvgeJwxgRFOvA0Y-a")</f>
        <v/>
      </c>
      <c r="B73" s="19" t="s">
        <v>226</v>
      </c>
      <c r="C73" s="19" t="s">
        <v>227</v>
      </c>
      <c r="D73" s="21"/>
      <c r="E73" s="21"/>
      <c r="F73" s="22">
        <v>2.0</v>
      </c>
      <c r="G73" s="22">
        <v>3.0</v>
      </c>
      <c r="H73" s="22">
        <v>1.0</v>
      </c>
      <c r="I73" s="22">
        <v>2.0</v>
      </c>
      <c r="J73" s="21"/>
      <c r="K73" s="22">
        <v>8.0</v>
      </c>
      <c r="L73" s="23">
        <v>8.0</v>
      </c>
      <c r="M73" s="29" t="s">
        <v>225</v>
      </c>
      <c r="N73" s="24"/>
      <c r="O73" s="29" t="s">
        <v>222</v>
      </c>
      <c r="P73" s="26"/>
      <c r="Q73" s="26"/>
      <c r="R73" s="26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ht="75.0" customHeight="1">
      <c r="A74" s="21" t="str">
        <f>IMAGE("https://lh3.googleusercontent.com/d/1HgV_x8FLcHisIYb9w8KmCIXGSVHucoex")</f>
        <v/>
      </c>
      <c r="B74" s="19" t="s">
        <v>228</v>
      </c>
      <c r="C74" s="19" t="s">
        <v>229</v>
      </c>
      <c r="D74" s="21"/>
      <c r="E74" s="21"/>
      <c r="F74" s="22">
        <v>2.0</v>
      </c>
      <c r="G74" s="22">
        <v>2.0</v>
      </c>
      <c r="H74" s="22">
        <v>2.0</v>
      </c>
      <c r="I74" s="22">
        <v>2.0</v>
      </c>
      <c r="J74" s="21"/>
      <c r="K74" s="22">
        <v>8.0</v>
      </c>
      <c r="L74" s="23">
        <v>8.0</v>
      </c>
      <c r="M74" s="29" t="s">
        <v>230</v>
      </c>
      <c r="N74" s="24"/>
      <c r="O74" s="29" t="s">
        <v>222</v>
      </c>
      <c r="P74" s="26"/>
      <c r="Q74" s="26"/>
      <c r="R74" s="26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ht="75.0" customHeight="1">
      <c r="A75" s="21" t="str">
        <f>IMAGE("https://lh3.googleusercontent.com/d/1ayb6XU7_7put7jz4EuPoFmPSYrvTb7PL")</f>
        <v/>
      </c>
      <c r="B75" s="19" t="s">
        <v>231</v>
      </c>
      <c r="C75" s="19" t="s">
        <v>232</v>
      </c>
      <c r="D75" s="21"/>
      <c r="E75" s="21"/>
      <c r="F75" s="22">
        <v>2.0</v>
      </c>
      <c r="G75" s="22">
        <v>1.0</v>
      </c>
      <c r="H75" s="22">
        <v>2.0</v>
      </c>
      <c r="I75" s="22">
        <v>2.0</v>
      </c>
      <c r="J75" s="21"/>
      <c r="K75" s="22">
        <v>8.0</v>
      </c>
      <c r="L75" s="23">
        <v>7.0</v>
      </c>
      <c r="M75" s="29" t="s">
        <v>233</v>
      </c>
      <c r="N75" s="24"/>
      <c r="O75" s="29" t="s">
        <v>222</v>
      </c>
      <c r="P75" s="26"/>
      <c r="Q75" s="26"/>
      <c r="R75" s="26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ht="75.0" customHeight="1">
      <c r="A76" s="21" t="str">
        <f>IMAGE("https://lh3.googleusercontent.com/d/1UYdH8zw4Z7enJoleyzlaDdgzcnXEhhtp")</f>
        <v/>
      </c>
      <c r="B76" s="19" t="s">
        <v>234</v>
      </c>
      <c r="C76" s="19" t="s">
        <v>235</v>
      </c>
      <c r="D76" s="21"/>
      <c r="E76" s="21"/>
      <c r="F76" s="22">
        <v>2.0</v>
      </c>
      <c r="G76" s="22">
        <v>3.0</v>
      </c>
      <c r="H76" s="22">
        <v>3.0</v>
      </c>
      <c r="I76" s="22">
        <v>2.0</v>
      </c>
      <c r="J76" s="21"/>
      <c r="K76" s="22">
        <v>10.0</v>
      </c>
      <c r="L76" s="23"/>
      <c r="M76" s="29" t="s">
        <v>236</v>
      </c>
      <c r="N76" s="24"/>
      <c r="O76" s="29" t="s">
        <v>237</v>
      </c>
      <c r="P76" s="26"/>
      <c r="Q76" s="26"/>
      <c r="R76" s="26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ht="75.0" customHeight="1">
      <c r="A77" s="21" t="str">
        <f>IMAGE("https://lh3.googleusercontent.com/d/1bJr0pQzCCPUUeJPGeZTkhaiPvxDs4ZAF")</f>
        <v/>
      </c>
      <c r="B77" s="19" t="s">
        <v>238</v>
      </c>
      <c r="C77" s="19" t="s">
        <v>239</v>
      </c>
      <c r="D77" s="21"/>
      <c r="E77" s="21"/>
      <c r="F77" s="22">
        <v>2.0</v>
      </c>
      <c r="G77" s="22">
        <v>2.0</v>
      </c>
      <c r="H77" s="22">
        <v>3.0</v>
      </c>
      <c r="I77" s="22">
        <v>2.0</v>
      </c>
      <c r="J77" s="21"/>
      <c r="K77" s="22">
        <v>10.0</v>
      </c>
      <c r="L77" s="23">
        <v>9.0</v>
      </c>
      <c r="M77" s="29" t="s">
        <v>240</v>
      </c>
      <c r="N77" s="24"/>
      <c r="O77" s="29" t="s">
        <v>222</v>
      </c>
      <c r="P77" s="26"/>
      <c r="Q77" s="26"/>
      <c r="R77" s="26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ht="75.0" customHeight="1">
      <c r="A78" s="21" t="str">
        <f>IMAGE("https://lh3.googleusercontent.com/d/1SS2ICL7J5vhHnVR6MrpxoK9jUw5sOCW1")</f>
        <v/>
      </c>
      <c r="B78" s="19" t="s">
        <v>241</v>
      </c>
      <c r="C78" s="19" t="s">
        <v>242</v>
      </c>
      <c r="D78" s="21"/>
      <c r="E78" s="21"/>
      <c r="F78" s="22">
        <v>2.0</v>
      </c>
      <c r="G78" s="22">
        <v>3.0</v>
      </c>
      <c r="H78" s="22">
        <v>2.0</v>
      </c>
      <c r="I78" s="22">
        <v>2.0</v>
      </c>
      <c r="J78" s="21"/>
      <c r="K78" s="22">
        <v>10.0</v>
      </c>
      <c r="L78" s="23">
        <v>9.0</v>
      </c>
      <c r="M78" s="29" t="s">
        <v>243</v>
      </c>
      <c r="N78" s="24"/>
      <c r="O78" s="29" t="s">
        <v>222</v>
      </c>
      <c r="P78" s="26"/>
      <c r="Q78" s="26"/>
      <c r="R78" s="26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ht="75.0" customHeight="1">
      <c r="A79" s="21" t="str">
        <f>IMAGE("https://lh3.googleusercontent.com/d/1HHKF_xGVOm9rrYLmIsddnERFjJDepNZF")</f>
        <v/>
      </c>
      <c r="B79" s="19" t="s">
        <v>244</v>
      </c>
      <c r="C79" s="19" t="s">
        <v>245</v>
      </c>
      <c r="D79" s="21"/>
      <c r="E79" s="21"/>
      <c r="F79" s="22">
        <v>2.0</v>
      </c>
      <c r="G79" s="22">
        <v>3.0</v>
      </c>
      <c r="H79" s="22">
        <v>3.0</v>
      </c>
      <c r="I79" s="22">
        <v>1.0</v>
      </c>
      <c r="J79" s="21"/>
      <c r="K79" s="22">
        <v>10.0</v>
      </c>
      <c r="L79" s="23">
        <v>9.0</v>
      </c>
      <c r="M79" s="29" t="s">
        <v>246</v>
      </c>
      <c r="N79" s="24"/>
      <c r="O79" s="29" t="s">
        <v>222</v>
      </c>
      <c r="P79" s="26"/>
      <c r="Q79" s="26"/>
      <c r="R79" s="26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ht="75.0" customHeight="1">
      <c r="A80" s="21" t="str">
        <f>IMAGE("https://lh3.googleusercontent.com/d/1bW_btGU-Ohm7bRvVE2SznIyWDaiDZTZb")</f>
        <v/>
      </c>
      <c r="B80" s="19" t="s">
        <v>247</v>
      </c>
      <c r="C80" s="19" t="s">
        <v>248</v>
      </c>
      <c r="D80" s="21"/>
      <c r="E80" s="21"/>
      <c r="F80" s="22">
        <v>2.0</v>
      </c>
      <c r="G80" s="22">
        <v>3.0</v>
      </c>
      <c r="H80" s="22">
        <v>3.0</v>
      </c>
      <c r="I80" s="22">
        <v>2.0</v>
      </c>
      <c r="J80" s="21"/>
      <c r="K80" s="22">
        <v>10.0</v>
      </c>
      <c r="L80" s="23">
        <v>10.0</v>
      </c>
      <c r="M80" s="29" t="s">
        <v>246</v>
      </c>
      <c r="N80" s="24"/>
      <c r="O80" s="29" t="s">
        <v>222</v>
      </c>
      <c r="P80" s="27" t="s">
        <v>59</v>
      </c>
      <c r="Q80" s="26"/>
      <c r="R80" s="26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ht="75.0" customHeight="1">
      <c r="A81" s="21" t="str">
        <f>IMAGE("https://lh3.googleusercontent.com/d/1JbLTIgj2yL8QInUAEeo38ihpAqIU_e6r")</f>
        <v/>
      </c>
      <c r="B81" s="19" t="s">
        <v>249</v>
      </c>
      <c r="C81" s="19" t="s">
        <v>250</v>
      </c>
      <c r="D81" s="21"/>
      <c r="E81" s="21"/>
      <c r="F81" s="22">
        <v>2.0</v>
      </c>
      <c r="G81" s="22">
        <v>3.0</v>
      </c>
      <c r="H81" s="22">
        <v>2.0</v>
      </c>
      <c r="I81" s="22">
        <v>0.0</v>
      </c>
      <c r="J81" s="21"/>
      <c r="K81" s="22">
        <v>10.0</v>
      </c>
      <c r="L81" s="23">
        <v>7.0</v>
      </c>
      <c r="M81" s="29" t="s">
        <v>251</v>
      </c>
      <c r="N81" s="24"/>
      <c r="O81" s="29" t="s">
        <v>252</v>
      </c>
      <c r="P81" s="26"/>
      <c r="Q81" s="27" t="s">
        <v>20</v>
      </c>
      <c r="R81" s="26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ht="75.0" customHeight="1">
      <c r="A82" s="21" t="str">
        <f>IMAGE("https://lh3.googleusercontent.com/d/1xe5Nwg3mAkLx0I3WcVFUaRdpaEZ2OPae")</f>
        <v/>
      </c>
      <c r="B82" s="19" t="s">
        <v>253</v>
      </c>
      <c r="C82" s="19" t="s">
        <v>254</v>
      </c>
      <c r="D82" s="21"/>
      <c r="E82" s="21"/>
      <c r="F82" s="22">
        <v>2.0</v>
      </c>
      <c r="G82" s="22">
        <v>3.0</v>
      </c>
      <c r="H82" s="22">
        <v>2.0</v>
      </c>
      <c r="I82" s="22">
        <v>2.0</v>
      </c>
      <c r="J82" s="21"/>
      <c r="K82" s="22">
        <v>10.0</v>
      </c>
      <c r="L82" s="23">
        <v>9.0</v>
      </c>
      <c r="M82" s="29" t="s">
        <v>255</v>
      </c>
      <c r="N82" s="24"/>
      <c r="O82" s="29" t="s">
        <v>252</v>
      </c>
      <c r="P82" s="26"/>
      <c r="Q82" s="26"/>
      <c r="R82" s="26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ht="75.0" customHeight="1">
      <c r="A83" s="21" t="str">
        <f>IMAGE("https://lh3.googleusercontent.com/d/1KUhFrQZ0K24CmIj7GvCmIm9TaKi2Y4mG")</f>
        <v/>
      </c>
      <c r="B83" s="19" t="s">
        <v>256</v>
      </c>
      <c r="C83" s="19" t="s">
        <v>257</v>
      </c>
      <c r="D83" s="21"/>
      <c r="E83" s="21"/>
      <c r="F83" s="22">
        <v>2.0</v>
      </c>
      <c r="G83" s="22">
        <v>3.0</v>
      </c>
      <c r="H83" s="22">
        <v>3.0</v>
      </c>
      <c r="I83" s="22">
        <v>2.0</v>
      </c>
      <c r="J83" s="21"/>
      <c r="K83" s="22">
        <v>10.0</v>
      </c>
      <c r="L83" s="23">
        <v>10.0</v>
      </c>
      <c r="M83" s="29" t="s">
        <v>54</v>
      </c>
      <c r="N83" s="24"/>
      <c r="O83" s="29" t="s">
        <v>252</v>
      </c>
      <c r="P83" s="26"/>
      <c r="Q83" s="26"/>
      <c r="R83" s="26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ht="75.0" customHeight="1">
      <c r="A84" s="21" t="str">
        <f>IMAGE("https://lh3.googleusercontent.com/d/175Vj4bAHzfJjKcaaA-OWuFXJNZDZWuY2")</f>
        <v/>
      </c>
      <c r="B84" s="19" t="s">
        <v>258</v>
      </c>
      <c r="C84" s="19" t="s">
        <v>259</v>
      </c>
      <c r="D84" s="21"/>
      <c r="E84" s="21"/>
      <c r="F84" s="22">
        <v>2.0</v>
      </c>
      <c r="G84" s="22">
        <v>3.0</v>
      </c>
      <c r="H84" s="22">
        <v>3.0</v>
      </c>
      <c r="I84" s="22">
        <v>2.0</v>
      </c>
      <c r="J84" s="21"/>
      <c r="K84" s="22">
        <v>10.0</v>
      </c>
      <c r="L84" s="23">
        <v>10.0</v>
      </c>
      <c r="M84" s="29" t="s">
        <v>54</v>
      </c>
      <c r="N84" s="24"/>
      <c r="O84" s="29" t="s">
        <v>252</v>
      </c>
      <c r="P84" s="26"/>
      <c r="Q84" s="26"/>
      <c r="R84" s="26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ht="75.0" customHeight="1">
      <c r="A85" s="21" t="str">
        <f>IMAGE("https://lh3.googleusercontent.com/d/1wL-lnB517Ok1OlHcV8M6iQBxhdjHSg-r")</f>
        <v/>
      </c>
      <c r="B85" s="19" t="s">
        <v>260</v>
      </c>
      <c r="C85" s="19" t="s">
        <v>261</v>
      </c>
      <c r="D85" s="24"/>
      <c r="E85" s="24"/>
      <c r="F85" s="22">
        <v>2.0</v>
      </c>
      <c r="G85" s="22">
        <v>3.0</v>
      </c>
      <c r="H85" s="22">
        <v>3.0</v>
      </c>
      <c r="I85" s="22">
        <v>2.0</v>
      </c>
      <c r="J85" s="24"/>
      <c r="K85" s="22">
        <v>12.0</v>
      </c>
      <c r="L85" s="23">
        <v>10.0</v>
      </c>
      <c r="M85" s="29" t="s">
        <v>262</v>
      </c>
      <c r="N85" s="24"/>
      <c r="O85" s="29" t="s">
        <v>263</v>
      </c>
      <c r="P85" s="26"/>
      <c r="Q85" s="26"/>
      <c r="R85" s="26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ht="75.0" customHeight="1">
      <c r="A86" s="21" t="str">
        <f>IMAGE("https://lh3.googleusercontent.com/d/1RQUkmeiY7uVoBiQGo62OMJwhqXQW7joZ")</f>
        <v/>
      </c>
      <c r="B86" s="19" t="s">
        <v>264</v>
      </c>
      <c r="C86" s="19" t="s">
        <v>265</v>
      </c>
      <c r="D86" s="21"/>
      <c r="E86" s="24"/>
      <c r="F86" s="22">
        <v>2.0</v>
      </c>
      <c r="G86" s="22">
        <v>3.0</v>
      </c>
      <c r="H86" s="22">
        <v>3.0</v>
      </c>
      <c r="I86" s="22">
        <v>2.0</v>
      </c>
      <c r="J86" s="24"/>
      <c r="K86" s="22">
        <v>12.0</v>
      </c>
      <c r="L86" s="23">
        <v>10.0</v>
      </c>
      <c r="M86" s="29" t="s">
        <v>57</v>
      </c>
      <c r="N86" s="24"/>
      <c r="O86" s="29" t="s">
        <v>263</v>
      </c>
      <c r="P86" s="26"/>
      <c r="Q86" s="26"/>
      <c r="R86" s="26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ht="75.0" customHeight="1">
      <c r="A87" s="21" t="str">
        <f>IMAGE("https://lh3.googleusercontent.com/d/1WCnuK79JSl9vEv2ipPLvzeW7naxvSDmo")</f>
        <v/>
      </c>
      <c r="B87" s="19" t="s">
        <v>266</v>
      </c>
      <c r="C87" s="19" t="s">
        <v>267</v>
      </c>
      <c r="D87" s="21"/>
      <c r="E87" s="24"/>
      <c r="F87" s="22">
        <v>2.0</v>
      </c>
      <c r="G87" s="22">
        <v>1.0</v>
      </c>
      <c r="H87" s="22">
        <v>2.0</v>
      </c>
      <c r="I87" s="22">
        <v>2.0</v>
      </c>
      <c r="J87" s="24"/>
      <c r="K87" s="22">
        <v>12.0</v>
      </c>
      <c r="L87" s="23">
        <v>7.0</v>
      </c>
      <c r="M87" s="29" t="s">
        <v>268</v>
      </c>
      <c r="N87" s="24"/>
      <c r="O87" s="29" t="s">
        <v>263</v>
      </c>
      <c r="P87" s="26"/>
      <c r="Q87" s="26"/>
      <c r="R87" s="26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ht="75.0" customHeight="1">
      <c r="A88" s="21" t="str">
        <f>IMAGE("https://lh3.googleusercontent.com/d/1Z1SznsIqPOZiAsPZlgxlvch-ZHfdPtTG")</f>
        <v/>
      </c>
      <c r="B88" s="19" t="s">
        <v>269</v>
      </c>
      <c r="C88" s="19" t="s">
        <v>270</v>
      </c>
      <c r="D88" s="21"/>
      <c r="E88" s="21"/>
      <c r="F88" s="22">
        <v>1.0</v>
      </c>
      <c r="G88" s="22">
        <v>2.0</v>
      </c>
      <c r="H88" s="22">
        <v>3.0</v>
      </c>
      <c r="I88" s="22">
        <v>2.0</v>
      </c>
      <c r="J88" s="21"/>
      <c r="K88" s="22">
        <v>10.0</v>
      </c>
      <c r="L88" s="23">
        <v>8.0</v>
      </c>
      <c r="M88" s="29" t="s">
        <v>271</v>
      </c>
      <c r="N88" s="24"/>
      <c r="O88" s="29" t="s">
        <v>272</v>
      </c>
      <c r="P88" s="27" t="s">
        <v>59</v>
      </c>
      <c r="Q88" s="26"/>
      <c r="R88" s="26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ht="75.0" customHeight="1">
      <c r="A89" s="21" t="str">
        <f>IMAGE("https://lh3.googleusercontent.com/d/1OwJJnwdrk1RJfAXupW8KkTcW2VEVMXt7")</f>
        <v/>
      </c>
      <c r="B89" s="19" t="s">
        <v>273</v>
      </c>
      <c r="C89" s="19" t="s">
        <v>274</v>
      </c>
      <c r="D89" s="21"/>
      <c r="E89" s="21"/>
      <c r="F89" s="22">
        <v>2.0</v>
      </c>
      <c r="G89" s="22">
        <v>2.0</v>
      </c>
      <c r="H89" s="22">
        <v>3.0</v>
      </c>
      <c r="I89" s="22">
        <v>2.0</v>
      </c>
      <c r="J89" s="21"/>
      <c r="K89" s="22">
        <v>10.0</v>
      </c>
      <c r="L89" s="23">
        <v>9.0</v>
      </c>
      <c r="M89" s="29" t="s">
        <v>271</v>
      </c>
      <c r="N89" s="24"/>
      <c r="O89" s="29" t="s">
        <v>272</v>
      </c>
      <c r="P89" s="26"/>
      <c r="Q89" s="26"/>
      <c r="R89" s="26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ht="75.0" customHeight="1">
      <c r="A90" s="21" t="str">
        <f>IMAGE("https://lh3.googleusercontent.com/d/169wmgMqUmRP38mswh6D-j39YakoayGF9")</f>
        <v/>
      </c>
      <c r="B90" s="19" t="s">
        <v>275</v>
      </c>
      <c r="C90" s="19" t="s">
        <v>276</v>
      </c>
      <c r="D90" s="21"/>
      <c r="E90" s="21"/>
      <c r="F90" s="24"/>
      <c r="G90" s="24"/>
      <c r="H90" s="24"/>
      <c r="I90" s="24"/>
      <c r="J90" s="21"/>
      <c r="K90" s="24"/>
      <c r="L90" s="23"/>
      <c r="M90" s="29" t="s">
        <v>277</v>
      </c>
      <c r="N90" s="24"/>
      <c r="O90" s="29" t="s">
        <v>272</v>
      </c>
      <c r="P90" s="26"/>
      <c r="Q90" s="26"/>
      <c r="R90" s="26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ht="75.0" customHeight="1">
      <c r="A91" s="21" t="str">
        <f>IMAGE("https://lh3.googleusercontent.com/d/1gkFHIpwVbMKe_NwD80RDhYaOVbIoiHQt")</f>
        <v/>
      </c>
      <c r="B91" s="19" t="s">
        <v>278</v>
      </c>
      <c r="C91" s="19" t="s">
        <v>279</v>
      </c>
      <c r="D91" s="21"/>
      <c r="E91" s="21"/>
      <c r="F91" s="24"/>
      <c r="G91" s="24"/>
      <c r="H91" s="24"/>
      <c r="I91" s="24"/>
      <c r="J91" s="21"/>
      <c r="K91" s="24"/>
      <c r="L91" s="23"/>
      <c r="M91" s="29" t="s">
        <v>277</v>
      </c>
      <c r="N91" s="24"/>
      <c r="O91" s="29" t="s">
        <v>272</v>
      </c>
      <c r="P91" s="26"/>
      <c r="Q91" s="26"/>
      <c r="R91" s="26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ht="75.0" customHeight="1">
      <c r="A92" s="21" t="str">
        <f>IMAGE("https://lh3.googleusercontent.com/d/1ds0k6ph36vb9_43Hu6HpolgvrPHig7XN")</f>
        <v/>
      </c>
      <c r="B92" s="19" t="s">
        <v>280</v>
      </c>
      <c r="C92" s="19" t="s">
        <v>281</v>
      </c>
      <c r="D92" s="21"/>
      <c r="E92" s="21"/>
      <c r="F92" s="22">
        <v>0.0</v>
      </c>
      <c r="G92" s="22">
        <v>0.0</v>
      </c>
      <c r="H92" s="22">
        <v>2.0</v>
      </c>
      <c r="I92" s="22">
        <v>2.0</v>
      </c>
      <c r="J92" s="21"/>
      <c r="K92" s="22">
        <v>10.0</v>
      </c>
      <c r="L92" s="23">
        <v>4.0</v>
      </c>
      <c r="M92" s="29" t="s">
        <v>251</v>
      </c>
      <c r="N92" s="24"/>
      <c r="O92" s="29" t="s">
        <v>282</v>
      </c>
      <c r="P92" s="26"/>
      <c r="Q92" s="26"/>
      <c r="R92" s="26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ht="75.0" customHeight="1">
      <c r="A93" s="21" t="str">
        <f>IMAGE("https://lh3.googleusercontent.com/d/1gtUpue6f_esWgS6VmHP4V2_3bmNPyul7")</f>
        <v/>
      </c>
      <c r="B93" s="19" t="s">
        <v>283</v>
      </c>
      <c r="C93" s="19" t="s">
        <v>284</v>
      </c>
      <c r="D93" s="21"/>
      <c r="E93" s="21"/>
      <c r="F93" s="22">
        <v>0.0</v>
      </c>
      <c r="G93" s="22">
        <v>0.0</v>
      </c>
      <c r="H93" s="22">
        <v>2.0</v>
      </c>
      <c r="I93" s="22">
        <v>0.0</v>
      </c>
      <c r="J93" s="21"/>
      <c r="K93" s="22">
        <v>10.0</v>
      </c>
      <c r="L93" s="23">
        <v>2.0</v>
      </c>
      <c r="M93" s="29" t="s">
        <v>65</v>
      </c>
      <c r="N93" s="24"/>
      <c r="O93" s="29" t="s">
        <v>209</v>
      </c>
      <c r="P93" s="26"/>
      <c r="Q93" s="26"/>
      <c r="R93" s="26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ht="75.0" customHeight="1">
      <c r="A94" s="21" t="str">
        <f>IMAGE("https://lh3.googleusercontent.com/d/1nnCVkN0crZt-IB6yap8tX9VMKmrNkq_y")</f>
        <v/>
      </c>
      <c r="B94" s="19" t="s">
        <v>285</v>
      </c>
      <c r="C94" s="19" t="s">
        <v>286</v>
      </c>
      <c r="D94" s="21"/>
      <c r="E94" s="38"/>
      <c r="F94" s="22">
        <v>1.0</v>
      </c>
      <c r="G94" s="22">
        <v>0.0</v>
      </c>
      <c r="H94" s="22">
        <v>2.0</v>
      </c>
      <c r="I94" s="22">
        <v>2.0</v>
      </c>
      <c r="J94" s="21"/>
      <c r="K94" s="22">
        <v>12.0</v>
      </c>
      <c r="L94" s="30">
        <v>5.0</v>
      </c>
      <c r="M94" s="29" t="s">
        <v>287</v>
      </c>
      <c r="N94" s="24"/>
      <c r="O94" s="29" t="s">
        <v>288</v>
      </c>
      <c r="P94" s="26"/>
      <c r="Q94" s="27" t="s">
        <v>20</v>
      </c>
      <c r="R94" s="26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ht="75.0" customHeight="1">
      <c r="A95" s="21" t="str">
        <f>IMAGE("https://lh3.googleusercontent.com/d/1ifKXZ9wuTGuuJs8oW8UC3FvioNlsVCS6")</f>
        <v/>
      </c>
      <c r="B95" s="19" t="s">
        <v>289</v>
      </c>
      <c r="C95" s="19" t="s">
        <v>290</v>
      </c>
      <c r="D95" s="21"/>
      <c r="E95" s="21"/>
      <c r="F95" s="22">
        <v>2.0</v>
      </c>
      <c r="G95" s="22">
        <v>3.0</v>
      </c>
      <c r="H95" s="22">
        <v>4.0</v>
      </c>
      <c r="I95" s="22">
        <v>1.0</v>
      </c>
      <c r="J95" s="21"/>
      <c r="K95" s="22">
        <v>12.0</v>
      </c>
      <c r="L95" s="23">
        <v>10.0</v>
      </c>
      <c r="M95" s="29" t="s">
        <v>291</v>
      </c>
      <c r="N95" s="24"/>
      <c r="O95" s="29" t="s">
        <v>292</v>
      </c>
      <c r="P95" s="26"/>
      <c r="Q95" s="26"/>
      <c r="R95" s="26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ht="75.0" customHeight="1">
      <c r="A96" s="21" t="str">
        <f>IMAGE("https://lh3.googleusercontent.com/d/12X2rISH3y_jT_dRD6eD5cKn-9WReEHL6")</f>
        <v/>
      </c>
      <c r="B96" s="19" t="s">
        <v>293</v>
      </c>
      <c r="C96" s="19" t="s">
        <v>294</v>
      </c>
      <c r="D96" s="21"/>
      <c r="E96" s="21"/>
      <c r="F96" s="22">
        <v>2.0</v>
      </c>
      <c r="G96" s="22">
        <v>4.0</v>
      </c>
      <c r="H96" s="22">
        <v>4.0</v>
      </c>
      <c r="I96" s="22">
        <v>2.0</v>
      </c>
      <c r="J96" s="21"/>
      <c r="K96" s="22">
        <v>12.0</v>
      </c>
      <c r="L96" s="23">
        <v>12.0</v>
      </c>
      <c r="M96" s="29" t="s">
        <v>54</v>
      </c>
      <c r="N96" s="24"/>
      <c r="O96" s="29" t="s">
        <v>192</v>
      </c>
      <c r="P96" s="26"/>
      <c r="Q96" s="26"/>
      <c r="R96" s="26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ht="75.0" customHeight="1">
      <c r="A97" s="21" t="str">
        <f>IMAGE("https://lh3.googleusercontent.com/d/1Lkd3KZL9mHQFBlOpMmJRvvbawbOa1vGb")</f>
        <v/>
      </c>
      <c r="B97" s="19" t="s">
        <v>295</v>
      </c>
      <c r="C97" s="19" t="s">
        <v>296</v>
      </c>
      <c r="D97" s="21"/>
      <c r="E97" s="21"/>
      <c r="F97" s="22">
        <v>2.0</v>
      </c>
      <c r="G97" s="22">
        <v>4.0</v>
      </c>
      <c r="H97" s="22">
        <v>4.0</v>
      </c>
      <c r="I97" s="22">
        <v>2.0</v>
      </c>
      <c r="J97" s="21"/>
      <c r="K97" s="22">
        <v>12.0</v>
      </c>
      <c r="L97" s="23">
        <v>12.0</v>
      </c>
      <c r="M97" s="29" t="s">
        <v>297</v>
      </c>
      <c r="N97" s="24"/>
      <c r="O97" s="29" t="s">
        <v>192</v>
      </c>
      <c r="P97" s="26"/>
      <c r="Q97" s="26"/>
      <c r="R97" s="26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ht="75.0" customHeight="1">
      <c r="A98" s="21" t="str">
        <f>IMAGE("https://lh3.googleusercontent.com/d/183TLoEehASdGyTTcXQVUmU0KX991rwZ9")</f>
        <v/>
      </c>
      <c r="B98" s="19" t="s">
        <v>298</v>
      </c>
      <c r="C98" s="19" t="s">
        <v>299</v>
      </c>
      <c r="D98" s="21"/>
      <c r="E98" s="21"/>
      <c r="F98" s="22">
        <v>2.0</v>
      </c>
      <c r="G98" s="22">
        <v>2.0</v>
      </c>
      <c r="H98" s="22">
        <v>3.0</v>
      </c>
      <c r="I98" s="22">
        <v>1.0</v>
      </c>
      <c r="J98" s="21"/>
      <c r="K98" s="22">
        <v>12.0</v>
      </c>
      <c r="L98" s="23">
        <v>8.0</v>
      </c>
      <c r="M98" s="29" t="s">
        <v>300</v>
      </c>
      <c r="N98" s="24"/>
      <c r="O98" s="29" t="s">
        <v>301</v>
      </c>
      <c r="P98" s="26"/>
      <c r="Q98" s="26"/>
      <c r="R98" s="26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ht="75.0" customHeight="1">
      <c r="A99" s="21" t="str">
        <f>IMAGE("https://lh3.googleusercontent.com/d/10OJgyCLq1HzSlE7wPGkubydgxNllqo7C")</f>
        <v/>
      </c>
      <c r="B99" s="19" t="s">
        <v>302</v>
      </c>
      <c r="C99" s="19" t="s">
        <v>303</v>
      </c>
      <c r="D99" s="21"/>
      <c r="E99" s="21"/>
      <c r="F99" s="22">
        <v>2.0</v>
      </c>
      <c r="G99" s="22">
        <v>1.0</v>
      </c>
      <c r="H99" s="22">
        <v>3.0</v>
      </c>
      <c r="I99" s="22">
        <v>1.0</v>
      </c>
      <c r="J99" s="21"/>
      <c r="K99" s="22">
        <v>10.0</v>
      </c>
      <c r="L99" s="30">
        <v>7.0</v>
      </c>
      <c r="M99" s="29" t="s">
        <v>304</v>
      </c>
      <c r="N99" s="24"/>
      <c r="O99" s="29" t="s">
        <v>301</v>
      </c>
      <c r="P99" s="26"/>
      <c r="Q99" s="26"/>
      <c r="R99" s="26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ht="75.0" customHeight="1">
      <c r="A100" s="21" t="str">
        <f>IMAGE("https://lh3.googleusercontent.com/d/1tNU8y8cbm7Gpvf1sCxaGCfUMTd8aKHz_")</f>
        <v/>
      </c>
      <c r="B100" s="19" t="s">
        <v>305</v>
      </c>
      <c r="C100" s="19" t="s">
        <v>306</v>
      </c>
      <c r="D100" s="21"/>
      <c r="E100" s="21"/>
      <c r="F100" s="22">
        <v>2.0</v>
      </c>
      <c r="G100" s="22">
        <v>4.0</v>
      </c>
      <c r="H100" s="22">
        <v>4.0</v>
      </c>
      <c r="I100" s="22">
        <v>2.0</v>
      </c>
      <c r="J100" s="21"/>
      <c r="K100" s="22">
        <v>12.0</v>
      </c>
      <c r="L100" s="23">
        <v>12.0</v>
      </c>
      <c r="M100" s="29" t="s">
        <v>297</v>
      </c>
      <c r="N100" s="24"/>
      <c r="O100" s="29" t="s">
        <v>301</v>
      </c>
      <c r="P100" s="26"/>
      <c r="Q100" s="26"/>
      <c r="R100" s="26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ht="75.0" customHeight="1">
      <c r="A101" s="21" t="str">
        <f>IMAGE("https://lh3.googleusercontent.com/d/1dRrCMLJxLIcuDdLssId2sckE6aQpbhCR")</f>
        <v/>
      </c>
      <c r="B101" s="19" t="s">
        <v>307</v>
      </c>
      <c r="C101" s="19" t="s">
        <v>308</v>
      </c>
      <c r="D101" s="21"/>
      <c r="E101" s="21"/>
      <c r="F101" s="22">
        <v>1.0</v>
      </c>
      <c r="G101" s="22">
        <v>3.0</v>
      </c>
      <c r="H101" s="22">
        <v>0.0</v>
      </c>
      <c r="I101" s="22">
        <v>1.0</v>
      </c>
      <c r="J101" s="21"/>
      <c r="K101" s="22">
        <v>10.0</v>
      </c>
      <c r="L101" s="23">
        <v>5.0</v>
      </c>
      <c r="M101" s="29" t="s">
        <v>77</v>
      </c>
      <c r="N101" s="24"/>
      <c r="O101" s="29" t="s">
        <v>301</v>
      </c>
      <c r="P101" s="26"/>
      <c r="Q101" s="26"/>
      <c r="R101" s="26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ht="75.0" customHeight="1">
      <c r="A102" s="21" t="str">
        <f>IMAGE("https://lh3.googleusercontent.com/d/1ByW9-6PLduK1C6l-i7rKz2HqS3OfQVGn")</f>
        <v/>
      </c>
      <c r="B102" s="19" t="s">
        <v>309</v>
      </c>
      <c r="C102" s="19" t="s">
        <v>310</v>
      </c>
      <c r="D102" s="21"/>
      <c r="E102" s="21"/>
      <c r="F102" s="22">
        <v>1.0</v>
      </c>
      <c r="G102" s="22">
        <v>3.0</v>
      </c>
      <c r="H102" s="22">
        <v>1.0</v>
      </c>
      <c r="I102" s="22">
        <v>2.0</v>
      </c>
      <c r="J102" s="21"/>
      <c r="K102" s="22">
        <v>10.0</v>
      </c>
      <c r="L102" s="23">
        <v>7.0</v>
      </c>
      <c r="M102" s="29" t="s">
        <v>311</v>
      </c>
      <c r="N102" s="24"/>
      <c r="O102" s="29" t="s">
        <v>301</v>
      </c>
      <c r="P102" s="26"/>
      <c r="Q102" s="26"/>
      <c r="R102" s="26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ht="75.0" customHeight="1">
      <c r="A103" s="21" t="str">
        <f>IMAGE("https://lh3.googleusercontent.com/d/10Twl7aFM4PlTejm4cI0gfW5jIefI89DL")</f>
        <v/>
      </c>
      <c r="B103" s="19" t="s">
        <v>312</v>
      </c>
      <c r="C103" s="19" t="s">
        <v>313</v>
      </c>
      <c r="D103" s="21"/>
      <c r="E103" s="21"/>
      <c r="F103" s="24"/>
      <c r="G103" s="24"/>
      <c r="H103" s="24"/>
      <c r="I103" s="24"/>
      <c r="J103" s="21"/>
      <c r="K103" s="24"/>
      <c r="L103" s="23"/>
      <c r="M103" s="29" t="s">
        <v>314</v>
      </c>
      <c r="N103" s="24"/>
      <c r="O103" s="29" t="s">
        <v>301</v>
      </c>
      <c r="P103" s="26"/>
      <c r="Q103" s="26"/>
      <c r="R103" s="26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ht="75.0" customHeight="1">
      <c r="A104" s="21" t="str">
        <f>IMAGE("https://lh3.googleusercontent.com/d/1Kvx4FbFeW9TZim9jQGyuQCCo2k9Mbb6j")</f>
        <v/>
      </c>
      <c r="B104" s="19" t="s">
        <v>315</v>
      </c>
      <c r="C104" s="19" t="s">
        <v>316</v>
      </c>
      <c r="D104" s="21"/>
      <c r="E104" s="21"/>
      <c r="F104" s="22">
        <v>1.0</v>
      </c>
      <c r="G104" s="22">
        <v>2.0</v>
      </c>
      <c r="H104" s="22">
        <v>4.0</v>
      </c>
      <c r="I104" s="22">
        <v>2.0</v>
      </c>
      <c r="J104" s="21"/>
      <c r="K104" s="22">
        <v>12.0</v>
      </c>
      <c r="L104" s="23">
        <v>9.0</v>
      </c>
      <c r="M104" s="29" t="s">
        <v>317</v>
      </c>
      <c r="N104" s="24"/>
      <c r="O104" s="29" t="s">
        <v>301</v>
      </c>
      <c r="P104" s="26"/>
      <c r="Q104" s="26"/>
      <c r="R104" s="26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ht="75.0" customHeight="1">
      <c r="A105" s="21" t="str">
        <f>IMAGE("https://lh3.googleusercontent.com/d/1Hk1tAY_t1GWLFP7oQu27QEABsK5vIcs2")</f>
        <v/>
      </c>
      <c r="B105" s="19" t="s">
        <v>318</v>
      </c>
      <c r="C105" s="19" t="s">
        <v>319</v>
      </c>
      <c r="D105" s="21"/>
      <c r="E105" s="21"/>
      <c r="F105" s="34"/>
      <c r="G105" s="34"/>
      <c r="H105" s="29"/>
      <c r="I105" s="29"/>
      <c r="J105" s="21"/>
      <c r="K105" s="24"/>
      <c r="L105" s="23"/>
      <c r="M105" s="29" t="s">
        <v>320</v>
      </c>
      <c r="N105" s="24"/>
      <c r="O105" s="29" t="s">
        <v>301</v>
      </c>
      <c r="P105" s="26"/>
      <c r="Q105" s="26"/>
      <c r="R105" s="26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ht="75.0" customHeight="1">
      <c r="A106" s="21" t="str">
        <f>IMAGE("https://lh3.googleusercontent.com/d/1uqgtLH1mCkrscOTyW6wuxLQhPO9uyFg-")</f>
        <v/>
      </c>
      <c r="B106" s="19" t="s">
        <v>321</v>
      </c>
      <c r="C106" s="19" t="s">
        <v>322</v>
      </c>
      <c r="D106" s="21"/>
      <c r="E106" s="21"/>
      <c r="F106" s="22">
        <v>1.0</v>
      </c>
      <c r="G106" s="22">
        <v>2.0</v>
      </c>
      <c r="H106" s="22">
        <v>0.0</v>
      </c>
      <c r="I106" s="22">
        <v>0.0</v>
      </c>
      <c r="J106" s="21"/>
      <c r="K106" s="22">
        <v>12.0</v>
      </c>
      <c r="L106" s="23">
        <v>3.0</v>
      </c>
      <c r="M106" s="29" t="s">
        <v>323</v>
      </c>
      <c r="N106" s="24"/>
      <c r="O106" s="29" t="s">
        <v>324</v>
      </c>
      <c r="P106" s="26"/>
      <c r="Q106" s="26"/>
      <c r="R106" s="26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ht="75.0" customHeight="1">
      <c r="A107" s="39"/>
      <c r="B107" s="40" t="s">
        <v>325</v>
      </c>
      <c r="C107" s="40" t="s">
        <v>326</v>
      </c>
      <c r="D107" s="39"/>
      <c r="E107" s="41">
        <v>0.0</v>
      </c>
      <c r="F107" s="41">
        <v>2.0</v>
      </c>
      <c r="G107" s="41">
        <v>3.0</v>
      </c>
      <c r="H107" s="41">
        <v>3.0</v>
      </c>
      <c r="I107" s="41">
        <v>1.0</v>
      </c>
      <c r="J107" s="41">
        <v>0.0</v>
      </c>
      <c r="K107" s="42"/>
      <c r="L107" s="23">
        <v>9.0</v>
      </c>
      <c r="M107" s="43"/>
      <c r="N107" s="44"/>
      <c r="O107" s="22" t="s">
        <v>327</v>
      </c>
      <c r="P107" s="26"/>
      <c r="Q107" s="26"/>
      <c r="R107" s="26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ht="75.0" customHeight="1">
      <c r="A108" s="21"/>
      <c r="B108" s="19" t="s">
        <v>328</v>
      </c>
      <c r="C108" s="37" t="s">
        <v>329</v>
      </c>
      <c r="D108" s="21"/>
      <c r="E108" s="21">
        <v>0.0</v>
      </c>
      <c r="F108" s="22">
        <v>1.0</v>
      </c>
      <c r="G108" s="22">
        <v>1.0</v>
      </c>
      <c r="H108" s="22">
        <v>1.0</v>
      </c>
      <c r="I108" s="22">
        <v>1.0</v>
      </c>
      <c r="J108" s="21">
        <v>0.0</v>
      </c>
      <c r="K108" s="22"/>
      <c r="L108" s="23">
        <v>4.0</v>
      </c>
      <c r="M108" s="29"/>
      <c r="N108" s="24"/>
      <c r="O108" s="29" t="s">
        <v>330</v>
      </c>
      <c r="P108" s="26"/>
      <c r="Q108" s="26"/>
      <c r="R108" s="26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ht="75.0" customHeight="1">
      <c r="A109" s="21"/>
      <c r="B109" s="19" t="s">
        <v>331</v>
      </c>
      <c r="C109" s="37" t="s">
        <v>332</v>
      </c>
      <c r="D109" s="21"/>
      <c r="E109" s="21">
        <v>0.0</v>
      </c>
      <c r="F109" s="22">
        <v>1.0</v>
      </c>
      <c r="G109" s="22">
        <v>3.0</v>
      </c>
      <c r="H109" s="22">
        <v>3.0</v>
      </c>
      <c r="I109" s="22">
        <v>2.0</v>
      </c>
      <c r="J109" s="21">
        <v>0.0</v>
      </c>
      <c r="K109" s="22"/>
      <c r="L109" s="23">
        <v>9.0</v>
      </c>
      <c r="M109" s="29"/>
      <c r="N109" s="24"/>
      <c r="O109" s="29" t="s">
        <v>333</v>
      </c>
      <c r="P109" s="26"/>
      <c r="Q109" s="26"/>
      <c r="R109" s="26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ht="75.0" customHeight="1">
      <c r="A110" s="21"/>
      <c r="B110" s="19" t="s">
        <v>334</v>
      </c>
      <c r="C110" s="19" t="s">
        <v>335</v>
      </c>
      <c r="D110" s="21"/>
      <c r="E110" s="21">
        <v>0.0</v>
      </c>
      <c r="F110" s="22">
        <v>2.0</v>
      </c>
      <c r="G110" s="22">
        <v>3.0</v>
      </c>
      <c r="H110" s="22">
        <v>3.0</v>
      </c>
      <c r="I110" s="22">
        <v>2.0</v>
      </c>
      <c r="J110" s="21">
        <v>0.0</v>
      </c>
      <c r="K110" s="22"/>
      <c r="L110" s="23">
        <v>10.0</v>
      </c>
      <c r="M110" s="29"/>
      <c r="N110" s="24"/>
      <c r="O110" s="29" t="s">
        <v>330</v>
      </c>
      <c r="P110" s="26"/>
      <c r="Q110" s="26"/>
      <c r="R110" s="26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ht="75.75" customHeight="1">
      <c r="A111" s="39"/>
      <c r="B111" s="40" t="s">
        <v>336</v>
      </c>
      <c r="C111" s="40" t="s">
        <v>337</v>
      </c>
      <c r="D111" s="39"/>
      <c r="E111" s="45">
        <v>0.0</v>
      </c>
      <c r="F111" s="41">
        <v>2.0</v>
      </c>
      <c r="G111" s="41">
        <v>3.0</v>
      </c>
      <c r="H111" s="41">
        <v>3.0</v>
      </c>
      <c r="I111" s="41">
        <v>2.0</v>
      </c>
      <c r="J111" s="45">
        <v>0.0</v>
      </c>
      <c r="K111" s="42"/>
      <c r="L111" s="23">
        <v>10.0</v>
      </c>
      <c r="M111" s="43"/>
      <c r="N111" s="44"/>
      <c r="O111" s="22" t="s">
        <v>338</v>
      </c>
      <c r="P111" s="26"/>
      <c r="Q111" s="26"/>
      <c r="R111" s="26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ht="89.25" customHeight="1">
      <c r="A112" s="39"/>
      <c r="B112" s="40" t="s">
        <v>339</v>
      </c>
      <c r="C112" s="40" t="s">
        <v>340</v>
      </c>
      <c r="D112" s="39"/>
      <c r="E112" s="45">
        <v>0.0</v>
      </c>
      <c r="F112" s="41">
        <v>2.0</v>
      </c>
      <c r="G112" s="41">
        <v>3.0</v>
      </c>
      <c r="H112" s="41">
        <v>3.0</v>
      </c>
      <c r="I112" s="41">
        <v>1.0</v>
      </c>
      <c r="J112" s="45">
        <v>0.0</v>
      </c>
      <c r="K112" s="42"/>
      <c r="L112" s="23">
        <v>9.0</v>
      </c>
      <c r="M112" s="43"/>
      <c r="N112" s="44"/>
      <c r="O112" s="22" t="s">
        <v>333</v>
      </c>
      <c r="P112" s="26"/>
      <c r="Q112" s="26"/>
      <c r="R112" s="26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ht="72.75" customHeight="1">
      <c r="A113" s="39"/>
      <c r="B113" s="40" t="s">
        <v>341</v>
      </c>
      <c r="C113" s="40" t="s">
        <v>342</v>
      </c>
      <c r="D113" s="39"/>
      <c r="E113" s="45">
        <v>0.0</v>
      </c>
      <c r="F113" s="41">
        <v>2.0</v>
      </c>
      <c r="G113" s="41">
        <v>4.0</v>
      </c>
      <c r="H113" s="41">
        <v>4.0</v>
      </c>
      <c r="I113" s="41">
        <v>2.0</v>
      </c>
      <c r="J113" s="45">
        <v>0.0</v>
      </c>
      <c r="K113" s="42"/>
      <c r="L113" s="23">
        <v>12.0</v>
      </c>
      <c r="M113" s="43"/>
      <c r="N113" s="44"/>
      <c r="O113" s="22" t="s">
        <v>333</v>
      </c>
      <c r="P113" s="26"/>
      <c r="Q113" s="26"/>
      <c r="R113" s="26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ht="78.75" customHeight="1">
      <c r="A114" s="39"/>
      <c r="B114" s="40" t="s">
        <v>343</v>
      </c>
      <c r="C114" s="40" t="s">
        <v>344</v>
      </c>
      <c r="D114" s="39"/>
      <c r="E114" s="45">
        <v>0.0</v>
      </c>
      <c r="F114" s="41">
        <v>2.0</v>
      </c>
      <c r="G114" s="41">
        <v>4.0</v>
      </c>
      <c r="H114" s="41">
        <v>3.0</v>
      </c>
      <c r="I114" s="41">
        <v>1.0</v>
      </c>
      <c r="J114" s="45">
        <v>0.0</v>
      </c>
      <c r="K114" s="42"/>
      <c r="L114" s="23">
        <v>10.0</v>
      </c>
      <c r="M114" s="43"/>
      <c r="N114" s="44"/>
      <c r="O114" s="22" t="s">
        <v>338</v>
      </c>
      <c r="P114" s="26"/>
      <c r="Q114" s="26"/>
      <c r="R114" s="26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ht="83.25" customHeight="1">
      <c r="A115" s="39"/>
      <c r="B115" s="40" t="s">
        <v>345</v>
      </c>
      <c r="C115" s="40" t="s">
        <v>346</v>
      </c>
      <c r="D115" s="39"/>
      <c r="E115" s="45">
        <v>0.0</v>
      </c>
      <c r="F115" s="41">
        <v>0.0</v>
      </c>
      <c r="G115" s="41">
        <v>4.0</v>
      </c>
      <c r="H115" s="41">
        <v>3.0</v>
      </c>
      <c r="I115" s="41">
        <v>1.0</v>
      </c>
      <c r="J115" s="45">
        <v>0.0</v>
      </c>
      <c r="K115" s="42"/>
      <c r="L115" s="23">
        <v>8.0</v>
      </c>
      <c r="M115" s="43"/>
      <c r="N115" s="44"/>
      <c r="O115" s="22" t="s">
        <v>327</v>
      </c>
      <c r="P115" s="26"/>
      <c r="Q115" s="26"/>
      <c r="R115" s="26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ht="87.0" customHeight="1">
      <c r="A116" s="39"/>
      <c r="B116" s="40" t="s">
        <v>347</v>
      </c>
      <c r="C116" s="40" t="s">
        <v>348</v>
      </c>
      <c r="D116" s="39"/>
      <c r="E116" s="45">
        <v>0.0</v>
      </c>
      <c r="F116" s="41">
        <v>2.0</v>
      </c>
      <c r="G116" s="41">
        <v>3.0</v>
      </c>
      <c r="H116" s="41">
        <v>3.0</v>
      </c>
      <c r="I116" s="41">
        <v>2.0</v>
      </c>
      <c r="J116" s="45">
        <v>0.0</v>
      </c>
      <c r="K116" s="42"/>
      <c r="L116" s="23">
        <v>10.0</v>
      </c>
      <c r="M116" s="43"/>
      <c r="N116" s="44"/>
      <c r="O116" s="22" t="s">
        <v>349</v>
      </c>
      <c r="P116" s="26"/>
      <c r="Q116" s="26"/>
      <c r="R116" s="26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ht="86.25" customHeight="1">
      <c r="A117" s="39"/>
      <c r="B117" s="40" t="s">
        <v>350</v>
      </c>
      <c r="C117" s="40" t="s">
        <v>351</v>
      </c>
      <c r="D117" s="39"/>
      <c r="E117" s="45">
        <v>0.0</v>
      </c>
      <c r="F117" s="41">
        <v>2.0</v>
      </c>
      <c r="G117" s="41">
        <v>4.0</v>
      </c>
      <c r="H117" s="41">
        <v>4.0</v>
      </c>
      <c r="I117" s="41">
        <v>2.0</v>
      </c>
      <c r="J117" s="45">
        <v>0.0</v>
      </c>
      <c r="K117" s="42"/>
      <c r="L117" s="23">
        <v>12.0</v>
      </c>
      <c r="M117" s="43"/>
      <c r="N117" s="44"/>
      <c r="O117" s="22" t="s">
        <v>352</v>
      </c>
      <c r="P117" s="26"/>
      <c r="Q117" s="26"/>
      <c r="R117" s="26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ht="87.75" customHeight="1">
      <c r="A118" s="39"/>
      <c r="B118" s="40" t="s">
        <v>353</v>
      </c>
      <c r="C118" s="40" t="s">
        <v>354</v>
      </c>
      <c r="D118" s="39"/>
      <c r="E118" s="45">
        <v>0.0</v>
      </c>
      <c r="F118" s="41">
        <v>1.0</v>
      </c>
      <c r="G118" s="41">
        <v>2.0</v>
      </c>
      <c r="H118" s="41">
        <v>2.0</v>
      </c>
      <c r="I118" s="41">
        <v>2.0</v>
      </c>
      <c r="J118" s="45">
        <v>0.0</v>
      </c>
      <c r="K118" s="42"/>
      <c r="L118" s="23">
        <v>7.0</v>
      </c>
      <c r="M118" s="43"/>
      <c r="N118" s="44"/>
      <c r="O118" s="22" t="s">
        <v>333</v>
      </c>
      <c r="P118" s="26"/>
      <c r="Q118" s="26"/>
      <c r="R118" s="26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>
      <c r="A119" s="39"/>
      <c r="B119" s="46"/>
      <c r="C119" s="46"/>
      <c r="D119" s="39"/>
      <c r="E119" s="39"/>
      <c r="F119" s="42"/>
      <c r="G119" s="42"/>
      <c r="H119" s="42"/>
      <c r="I119" s="42"/>
      <c r="J119" s="39"/>
      <c r="K119" s="42"/>
      <c r="L119" s="23"/>
      <c r="M119" s="43"/>
      <c r="N119" s="44"/>
      <c r="O119" s="29"/>
      <c r="P119" s="26"/>
      <c r="Q119" s="26"/>
      <c r="R119" s="26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>
      <c r="A120" s="39"/>
      <c r="B120" s="46"/>
      <c r="C120" s="46"/>
      <c r="D120" s="39"/>
      <c r="E120" s="39"/>
      <c r="F120" s="42"/>
      <c r="G120" s="42"/>
      <c r="H120" s="42"/>
      <c r="I120" s="42"/>
      <c r="J120" s="39"/>
      <c r="K120" s="42"/>
      <c r="L120" s="47"/>
      <c r="M120" s="43"/>
      <c r="N120" s="44"/>
      <c r="O120" s="29"/>
      <c r="P120" s="26"/>
      <c r="Q120" s="26"/>
      <c r="R120" s="26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>
      <c r="A121" s="39"/>
      <c r="B121" s="46"/>
      <c r="C121" s="46"/>
      <c r="D121" s="39"/>
      <c r="E121" s="39"/>
      <c r="F121" s="42"/>
      <c r="G121" s="42"/>
      <c r="H121" s="42"/>
      <c r="I121" s="42"/>
      <c r="J121" s="39"/>
      <c r="K121" s="42"/>
      <c r="L121" s="47"/>
      <c r="M121" s="43"/>
      <c r="N121" s="44"/>
      <c r="O121" s="29"/>
      <c r="P121" s="26"/>
      <c r="Q121" s="26"/>
      <c r="R121" s="26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>
      <c r="A122" s="39"/>
      <c r="B122" s="46"/>
      <c r="C122" s="46"/>
      <c r="D122" s="39"/>
      <c r="E122" s="39"/>
      <c r="F122" s="42"/>
      <c r="G122" s="42"/>
      <c r="H122" s="42"/>
      <c r="I122" s="42"/>
      <c r="J122" s="39"/>
      <c r="K122" s="42"/>
      <c r="L122" s="47"/>
      <c r="M122" s="43"/>
      <c r="N122" s="44"/>
      <c r="O122" s="29"/>
      <c r="P122" s="26"/>
      <c r="Q122" s="26"/>
      <c r="R122" s="26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>
      <c r="A123" s="39"/>
      <c r="B123" s="46"/>
      <c r="C123" s="46"/>
      <c r="D123" s="39"/>
      <c r="E123" s="39"/>
      <c r="F123" s="42"/>
      <c r="G123" s="42"/>
      <c r="H123" s="42"/>
      <c r="I123" s="42"/>
      <c r="J123" s="39"/>
      <c r="K123" s="42"/>
      <c r="L123" s="47"/>
      <c r="M123" s="43"/>
      <c r="N123" s="44"/>
      <c r="O123" s="29"/>
      <c r="P123" s="26"/>
      <c r="Q123" s="26"/>
      <c r="R123" s="26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>
      <c r="A124" s="39"/>
      <c r="B124" s="46"/>
      <c r="C124" s="46"/>
      <c r="D124" s="39"/>
      <c r="E124" s="39"/>
      <c r="F124" s="42"/>
      <c r="G124" s="42"/>
      <c r="H124" s="42"/>
      <c r="I124" s="42"/>
      <c r="J124" s="39"/>
      <c r="K124" s="42"/>
      <c r="L124" s="47"/>
      <c r="M124" s="43"/>
      <c r="N124" s="44"/>
      <c r="O124" s="29"/>
      <c r="P124" s="26"/>
      <c r="Q124" s="26"/>
      <c r="R124" s="26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>
      <c r="A125" s="39"/>
      <c r="B125" s="46"/>
      <c r="C125" s="46"/>
      <c r="D125" s="39"/>
      <c r="E125" s="39"/>
      <c r="F125" s="42"/>
      <c r="G125" s="42"/>
      <c r="H125" s="42"/>
      <c r="I125" s="42"/>
      <c r="J125" s="39"/>
      <c r="K125" s="42"/>
      <c r="L125" s="47"/>
      <c r="M125" s="43"/>
      <c r="N125" s="44"/>
      <c r="O125" s="29"/>
      <c r="P125" s="26"/>
      <c r="Q125" s="26"/>
      <c r="R125" s="26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>
      <c r="A126" s="39"/>
      <c r="B126" s="46"/>
      <c r="C126" s="46"/>
      <c r="D126" s="39"/>
      <c r="E126" s="39"/>
      <c r="F126" s="42"/>
      <c r="G126" s="42"/>
      <c r="H126" s="42"/>
      <c r="I126" s="42"/>
      <c r="J126" s="39"/>
      <c r="K126" s="42"/>
      <c r="L126" s="47"/>
      <c r="M126" s="43"/>
      <c r="N126" s="44"/>
      <c r="O126" s="29"/>
      <c r="P126" s="26"/>
      <c r="Q126" s="26"/>
      <c r="R126" s="26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>
      <c r="A127" s="39"/>
      <c r="B127" s="46"/>
      <c r="C127" s="46"/>
      <c r="D127" s="39"/>
      <c r="E127" s="39"/>
      <c r="F127" s="42"/>
      <c r="G127" s="42"/>
      <c r="H127" s="42"/>
      <c r="I127" s="42"/>
      <c r="J127" s="39"/>
      <c r="K127" s="42"/>
      <c r="L127" s="47"/>
      <c r="M127" s="43"/>
      <c r="N127" s="44"/>
      <c r="O127" s="29"/>
      <c r="P127" s="26"/>
      <c r="Q127" s="26"/>
      <c r="R127" s="26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>
      <c r="A128" s="39"/>
      <c r="B128" s="46"/>
      <c r="C128" s="46"/>
      <c r="D128" s="39"/>
      <c r="E128" s="39"/>
      <c r="F128" s="42"/>
      <c r="G128" s="42"/>
      <c r="H128" s="42"/>
      <c r="I128" s="42"/>
      <c r="J128" s="39"/>
      <c r="K128" s="42"/>
      <c r="L128" s="47"/>
      <c r="M128" s="43"/>
      <c r="N128" s="44"/>
      <c r="O128" s="29"/>
      <c r="P128" s="26"/>
      <c r="Q128" s="26"/>
      <c r="R128" s="26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>
      <c r="A129" s="39"/>
      <c r="B129" s="46"/>
      <c r="C129" s="46"/>
      <c r="D129" s="39"/>
      <c r="E129" s="39"/>
      <c r="F129" s="42"/>
      <c r="G129" s="42"/>
      <c r="H129" s="42"/>
      <c r="I129" s="42"/>
      <c r="J129" s="39"/>
      <c r="K129" s="42"/>
      <c r="L129" s="47"/>
      <c r="M129" s="43"/>
      <c r="N129" s="44"/>
      <c r="O129" s="29"/>
      <c r="P129" s="26"/>
      <c r="Q129" s="26"/>
      <c r="R129" s="26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>
      <c r="A130" s="39"/>
      <c r="B130" s="46"/>
      <c r="C130" s="46"/>
      <c r="D130" s="39"/>
      <c r="E130" s="39"/>
      <c r="F130" s="42"/>
      <c r="G130" s="42"/>
      <c r="H130" s="42"/>
      <c r="I130" s="42"/>
      <c r="J130" s="39"/>
      <c r="K130" s="42"/>
      <c r="L130" s="47"/>
      <c r="M130" s="43"/>
      <c r="N130" s="44"/>
      <c r="O130" s="29"/>
      <c r="P130" s="26"/>
      <c r="Q130" s="26"/>
      <c r="R130" s="26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>
      <c r="A131" s="39"/>
      <c r="B131" s="46"/>
      <c r="C131" s="46"/>
      <c r="D131" s="39"/>
      <c r="E131" s="39"/>
      <c r="F131" s="42"/>
      <c r="G131" s="42"/>
      <c r="H131" s="42"/>
      <c r="I131" s="42"/>
      <c r="J131" s="39"/>
      <c r="K131" s="42"/>
      <c r="L131" s="47"/>
      <c r="M131" s="43"/>
      <c r="N131" s="44"/>
      <c r="O131" s="29"/>
      <c r="P131" s="26"/>
      <c r="Q131" s="26"/>
      <c r="R131" s="26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>
      <c r="A132" s="39"/>
      <c r="B132" s="46"/>
      <c r="C132" s="46"/>
      <c r="D132" s="39"/>
      <c r="E132" s="39"/>
      <c r="F132" s="42"/>
      <c r="G132" s="42"/>
      <c r="H132" s="42"/>
      <c r="I132" s="42"/>
      <c r="J132" s="39"/>
      <c r="K132" s="42"/>
      <c r="L132" s="47"/>
      <c r="M132" s="43"/>
      <c r="N132" s="44"/>
      <c r="O132" s="29"/>
      <c r="P132" s="26"/>
      <c r="Q132" s="26"/>
      <c r="R132" s="26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>
      <c r="A133" s="39"/>
      <c r="B133" s="46"/>
      <c r="C133" s="46"/>
      <c r="D133" s="39"/>
      <c r="E133" s="39"/>
      <c r="F133" s="42"/>
      <c r="G133" s="42"/>
      <c r="H133" s="42"/>
      <c r="I133" s="42"/>
      <c r="J133" s="39"/>
      <c r="K133" s="42"/>
      <c r="L133" s="47"/>
      <c r="M133" s="43"/>
      <c r="N133" s="44"/>
      <c r="O133" s="29"/>
      <c r="P133" s="26"/>
      <c r="Q133" s="26"/>
      <c r="R133" s="26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>
      <c r="A134" s="39"/>
      <c r="B134" s="46"/>
      <c r="C134" s="46"/>
      <c r="D134" s="39"/>
      <c r="E134" s="39"/>
      <c r="F134" s="42"/>
      <c r="G134" s="42"/>
      <c r="H134" s="42"/>
      <c r="I134" s="42"/>
      <c r="J134" s="39"/>
      <c r="K134" s="42"/>
      <c r="L134" s="47"/>
      <c r="M134" s="43"/>
      <c r="N134" s="44"/>
      <c r="O134" s="29"/>
      <c r="P134" s="26"/>
      <c r="Q134" s="26"/>
      <c r="R134" s="26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>
      <c r="A135" s="39"/>
      <c r="B135" s="46"/>
      <c r="C135" s="46"/>
      <c r="D135" s="39"/>
      <c r="E135" s="39"/>
      <c r="F135" s="42"/>
      <c r="G135" s="42"/>
      <c r="H135" s="42"/>
      <c r="I135" s="42"/>
      <c r="J135" s="39"/>
      <c r="K135" s="42"/>
      <c r="L135" s="47"/>
      <c r="M135" s="43"/>
      <c r="N135" s="44"/>
      <c r="O135" s="29"/>
      <c r="P135" s="26"/>
      <c r="Q135" s="26"/>
      <c r="R135" s="26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>
      <c r="A136" s="39"/>
      <c r="B136" s="46"/>
      <c r="C136" s="46"/>
      <c r="D136" s="39"/>
      <c r="E136" s="39"/>
      <c r="F136" s="42"/>
      <c r="G136" s="42"/>
      <c r="H136" s="42"/>
      <c r="I136" s="42"/>
      <c r="J136" s="39"/>
      <c r="K136" s="42"/>
      <c r="L136" s="47"/>
      <c r="M136" s="43"/>
      <c r="N136" s="44"/>
      <c r="O136" s="29"/>
      <c r="P136" s="26"/>
      <c r="Q136" s="26"/>
      <c r="R136" s="26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>
      <c r="A137" s="39"/>
      <c r="B137" s="46"/>
      <c r="C137" s="46"/>
      <c r="D137" s="39"/>
      <c r="E137" s="39"/>
      <c r="F137" s="42"/>
      <c r="G137" s="42"/>
      <c r="H137" s="42"/>
      <c r="I137" s="42"/>
      <c r="J137" s="39"/>
      <c r="K137" s="42"/>
      <c r="L137" s="47"/>
      <c r="M137" s="43"/>
      <c r="N137" s="44"/>
      <c r="O137" s="29"/>
      <c r="P137" s="26"/>
      <c r="Q137" s="26"/>
      <c r="R137" s="26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>
      <c r="A138" s="39"/>
      <c r="B138" s="46"/>
      <c r="C138" s="46"/>
      <c r="D138" s="39"/>
      <c r="E138" s="39"/>
      <c r="F138" s="42"/>
      <c r="G138" s="42"/>
      <c r="H138" s="42"/>
      <c r="I138" s="42"/>
      <c r="J138" s="39"/>
      <c r="K138" s="42"/>
      <c r="L138" s="47"/>
      <c r="M138" s="43"/>
      <c r="N138" s="44"/>
      <c r="O138" s="29"/>
      <c r="P138" s="26"/>
      <c r="Q138" s="26"/>
      <c r="R138" s="26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>
      <c r="A139" s="39"/>
      <c r="B139" s="46"/>
      <c r="C139" s="46"/>
      <c r="D139" s="39"/>
      <c r="E139" s="39"/>
      <c r="F139" s="42"/>
      <c r="G139" s="42"/>
      <c r="H139" s="42"/>
      <c r="I139" s="42"/>
      <c r="J139" s="39"/>
      <c r="K139" s="42"/>
      <c r="L139" s="47"/>
      <c r="M139" s="43"/>
      <c r="N139" s="44"/>
      <c r="O139" s="29"/>
      <c r="P139" s="26"/>
      <c r="Q139" s="26"/>
      <c r="R139" s="26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>
      <c r="A140" s="39"/>
      <c r="B140" s="46"/>
      <c r="C140" s="46"/>
      <c r="D140" s="39"/>
      <c r="E140" s="39"/>
      <c r="F140" s="42"/>
      <c r="G140" s="42"/>
      <c r="H140" s="42"/>
      <c r="I140" s="42"/>
      <c r="J140" s="39"/>
      <c r="K140" s="42"/>
      <c r="L140" s="47"/>
      <c r="M140" s="43"/>
      <c r="N140" s="44"/>
      <c r="O140" s="29"/>
      <c r="P140" s="26"/>
      <c r="Q140" s="26"/>
      <c r="R140" s="26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>
      <c r="A141" s="39"/>
      <c r="B141" s="46"/>
      <c r="C141" s="46"/>
      <c r="D141" s="39"/>
      <c r="E141" s="39"/>
      <c r="F141" s="42"/>
      <c r="G141" s="42"/>
      <c r="H141" s="42"/>
      <c r="I141" s="42"/>
      <c r="J141" s="39"/>
      <c r="K141" s="42"/>
      <c r="L141" s="47"/>
      <c r="M141" s="43"/>
      <c r="N141" s="44"/>
      <c r="O141" s="29"/>
      <c r="P141" s="26"/>
      <c r="Q141" s="26"/>
      <c r="R141" s="26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>
      <c r="A142" s="39"/>
      <c r="B142" s="46"/>
      <c r="C142" s="46"/>
      <c r="D142" s="39"/>
      <c r="E142" s="39"/>
      <c r="F142" s="42"/>
      <c r="G142" s="42"/>
      <c r="H142" s="42"/>
      <c r="I142" s="42"/>
      <c r="J142" s="39"/>
      <c r="K142" s="42"/>
      <c r="L142" s="47"/>
      <c r="M142" s="43"/>
      <c r="N142" s="44"/>
      <c r="O142" s="29"/>
      <c r="P142" s="26"/>
      <c r="Q142" s="26"/>
      <c r="R142" s="26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>
      <c r="A143" s="39"/>
      <c r="B143" s="46"/>
      <c r="C143" s="46"/>
      <c r="D143" s="39"/>
      <c r="E143" s="39"/>
      <c r="F143" s="42"/>
      <c r="G143" s="42"/>
      <c r="H143" s="42"/>
      <c r="I143" s="42"/>
      <c r="J143" s="39"/>
      <c r="K143" s="42"/>
      <c r="L143" s="47"/>
      <c r="M143" s="43"/>
      <c r="N143" s="44"/>
      <c r="O143" s="29"/>
      <c r="P143" s="26"/>
      <c r="Q143" s="26"/>
      <c r="R143" s="26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>
      <c r="A144" s="39"/>
      <c r="B144" s="46"/>
      <c r="C144" s="46"/>
      <c r="D144" s="39"/>
      <c r="E144" s="39"/>
      <c r="F144" s="42"/>
      <c r="G144" s="42"/>
      <c r="H144" s="42"/>
      <c r="I144" s="42"/>
      <c r="J144" s="39"/>
      <c r="K144" s="42"/>
      <c r="L144" s="47"/>
      <c r="M144" s="43"/>
      <c r="N144" s="44"/>
      <c r="O144" s="29"/>
      <c r="P144" s="26"/>
      <c r="Q144" s="26"/>
      <c r="R144" s="26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>
      <c r="A145" s="39"/>
      <c r="B145" s="46"/>
      <c r="C145" s="46"/>
      <c r="D145" s="39"/>
      <c r="E145" s="39"/>
      <c r="F145" s="42"/>
      <c r="G145" s="42"/>
      <c r="H145" s="42"/>
      <c r="I145" s="42"/>
      <c r="J145" s="39"/>
      <c r="K145" s="42"/>
      <c r="L145" s="47"/>
      <c r="M145" s="43"/>
      <c r="N145" s="44"/>
      <c r="O145" s="29"/>
      <c r="P145" s="26"/>
      <c r="Q145" s="26"/>
      <c r="R145" s="26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>
      <c r="A146" s="39"/>
      <c r="B146" s="46"/>
      <c r="C146" s="46"/>
      <c r="D146" s="39"/>
      <c r="E146" s="39"/>
      <c r="F146" s="42"/>
      <c r="G146" s="42"/>
      <c r="H146" s="42"/>
      <c r="I146" s="42"/>
      <c r="J146" s="39"/>
      <c r="K146" s="42"/>
      <c r="L146" s="47"/>
      <c r="M146" s="43"/>
      <c r="N146" s="44"/>
      <c r="O146" s="29"/>
      <c r="P146" s="26"/>
      <c r="Q146" s="26"/>
      <c r="R146" s="26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>
      <c r="A147" s="39"/>
      <c r="B147" s="46"/>
      <c r="C147" s="46"/>
      <c r="D147" s="39"/>
      <c r="E147" s="39"/>
      <c r="F147" s="42"/>
      <c r="G147" s="42"/>
      <c r="H147" s="42"/>
      <c r="I147" s="42"/>
      <c r="J147" s="39"/>
      <c r="K147" s="42"/>
      <c r="L147" s="47"/>
      <c r="M147" s="43"/>
      <c r="N147" s="44"/>
      <c r="O147" s="29"/>
      <c r="P147" s="26"/>
      <c r="Q147" s="26"/>
      <c r="R147" s="26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>
      <c r="A148" s="39"/>
      <c r="B148" s="46"/>
      <c r="C148" s="46"/>
      <c r="D148" s="39"/>
      <c r="E148" s="39"/>
      <c r="F148" s="42"/>
      <c r="G148" s="42"/>
      <c r="H148" s="42"/>
      <c r="I148" s="42"/>
      <c r="J148" s="39"/>
      <c r="K148" s="42"/>
      <c r="L148" s="47"/>
      <c r="M148" s="43"/>
      <c r="N148" s="44"/>
      <c r="O148" s="29"/>
      <c r="P148" s="26"/>
      <c r="Q148" s="26"/>
      <c r="R148" s="26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>
      <c r="A149" s="39"/>
      <c r="B149" s="46"/>
      <c r="C149" s="46"/>
      <c r="D149" s="39"/>
      <c r="E149" s="39"/>
      <c r="F149" s="42"/>
      <c r="G149" s="42"/>
      <c r="H149" s="42"/>
      <c r="I149" s="42"/>
      <c r="J149" s="39"/>
      <c r="K149" s="42"/>
      <c r="L149" s="47"/>
      <c r="M149" s="43"/>
      <c r="N149" s="44"/>
      <c r="O149" s="29"/>
      <c r="P149" s="26"/>
      <c r="Q149" s="26"/>
      <c r="R149" s="26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>
      <c r="A150" s="39"/>
      <c r="B150" s="46"/>
      <c r="C150" s="46"/>
      <c r="D150" s="39"/>
      <c r="E150" s="39"/>
      <c r="F150" s="42"/>
      <c r="G150" s="42"/>
      <c r="H150" s="42"/>
      <c r="I150" s="42"/>
      <c r="J150" s="39"/>
      <c r="K150" s="42"/>
      <c r="L150" s="47"/>
      <c r="M150" s="43"/>
      <c r="N150" s="44"/>
      <c r="O150" s="29"/>
      <c r="P150" s="26"/>
      <c r="Q150" s="26"/>
      <c r="R150" s="26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>
      <c r="A151" s="39"/>
      <c r="B151" s="46"/>
      <c r="C151" s="46"/>
      <c r="D151" s="39"/>
      <c r="E151" s="39"/>
      <c r="F151" s="42"/>
      <c r="G151" s="42"/>
      <c r="H151" s="42"/>
      <c r="I151" s="42"/>
      <c r="J151" s="39"/>
      <c r="K151" s="42"/>
      <c r="L151" s="47"/>
      <c r="M151" s="43"/>
      <c r="N151" s="44"/>
      <c r="O151" s="29"/>
      <c r="P151" s="26"/>
      <c r="Q151" s="26"/>
      <c r="R151" s="26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>
      <c r="A152" s="39"/>
      <c r="B152" s="46"/>
      <c r="C152" s="46"/>
      <c r="D152" s="39"/>
      <c r="E152" s="39"/>
      <c r="F152" s="42"/>
      <c r="G152" s="42"/>
      <c r="H152" s="42"/>
      <c r="I152" s="42"/>
      <c r="J152" s="39"/>
      <c r="K152" s="42"/>
      <c r="L152" s="47"/>
      <c r="M152" s="43"/>
      <c r="N152" s="44"/>
      <c r="O152" s="29"/>
      <c r="P152" s="26"/>
      <c r="Q152" s="26"/>
      <c r="R152" s="26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>
      <c r="A153" s="39"/>
      <c r="B153" s="46"/>
      <c r="C153" s="46"/>
      <c r="D153" s="39"/>
      <c r="E153" s="39"/>
      <c r="F153" s="42"/>
      <c r="G153" s="42"/>
      <c r="H153" s="42"/>
      <c r="I153" s="42"/>
      <c r="J153" s="39"/>
      <c r="K153" s="42"/>
      <c r="L153" s="47"/>
      <c r="M153" s="43"/>
      <c r="N153" s="44"/>
      <c r="O153" s="29"/>
      <c r="P153" s="26"/>
      <c r="Q153" s="26"/>
      <c r="R153" s="26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>
      <c r="A154" s="39"/>
      <c r="B154" s="46"/>
      <c r="C154" s="46"/>
      <c r="D154" s="39"/>
      <c r="E154" s="39"/>
      <c r="F154" s="42"/>
      <c r="G154" s="42"/>
      <c r="H154" s="42"/>
      <c r="I154" s="42"/>
      <c r="J154" s="39"/>
      <c r="K154" s="42"/>
      <c r="L154" s="47"/>
      <c r="M154" s="43"/>
      <c r="N154" s="44"/>
      <c r="O154" s="29"/>
      <c r="P154" s="26"/>
      <c r="Q154" s="26"/>
      <c r="R154" s="26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>
      <c r="A155" s="39"/>
      <c r="B155" s="46"/>
      <c r="C155" s="46"/>
      <c r="D155" s="39"/>
      <c r="E155" s="39"/>
      <c r="F155" s="42"/>
      <c r="G155" s="42"/>
      <c r="H155" s="42"/>
      <c r="I155" s="42"/>
      <c r="J155" s="39"/>
      <c r="K155" s="42"/>
      <c r="L155" s="47"/>
      <c r="M155" s="43"/>
      <c r="N155" s="44"/>
      <c r="O155" s="29"/>
      <c r="P155" s="26"/>
      <c r="Q155" s="26"/>
      <c r="R155" s="26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>
      <c r="A156" s="39"/>
      <c r="B156" s="46"/>
      <c r="C156" s="46"/>
      <c r="D156" s="39"/>
      <c r="E156" s="39"/>
      <c r="F156" s="42"/>
      <c r="G156" s="42"/>
      <c r="H156" s="42"/>
      <c r="I156" s="42"/>
      <c r="J156" s="39"/>
      <c r="K156" s="42"/>
      <c r="L156" s="47"/>
      <c r="M156" s="43"/>
      <c r="N156" s="44"/>
      <c r="O156" s="29"/>
      <c r="P156" s="26"/>
      <c r="Q156" s="26"/>
      <c r="R156" s="26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>
      <c r="A157" s="39"/>
      <c r="B157" s="46"/>
      <c r="C157" s="46"/>
      <c r="D157" s="39"/>
      <c r="E157" s="39"/>
      <c r="F157" s="42"/>
      <c r="G157" s="42"/>
      <c r="H157" s="42"/>
      <c r="I157" s="42"/>
      <c r="J157" s="39"/>
      <c r="K157" s="42"/>
      <c r="L157" s="47"/>
      <c r="M157" s="43"/>
      <c r="N157" s="44"/>
      <c r="O157" s="29"/>
      <c r="P157" s="26"/>
      <c r="Q157" s="26"/>
      <c r="R157" s="26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>
      <c r="A158" s="39"/>
      <c r="B158" s="46"/>
      <c r="C158" s="46"/>
      <c r="D158" s="39"/>
      <c r="E158" s="39"/>
      <c r="F158" s="42"/>
      <c r="G158" s="42"/>
      <c r="H158" s="42"/>
      <c r="I158" s="42"/>
      <c r="J158" s="39"/>
      <c r="K158" s="42"/>
      <c r="L158" s="47"/>
      <c r="M158" s="43"/>
      <c r="N158" s="44"/>
      <c r="O158" s="29"/>
      <c r="P158" s="26"/>
      <c r="Q158" s="26"/>
      <c r="R158" s="26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>
      <c r="A159" s="39"/>
      <c r="B159" s="46"/>
      <c r="C159" s="46"/>
      <c r="D159" s="39"/>
      <c r="E159" s="39"/>
      <c r="F159" s="42"/>
      <c r="G159" s="42"/>
      <c r="H159" s="42"/>
      <c r="I159" s="42"/>
      <c r="J159" s="39"/>
      <c r="K159" s="42"/>
      <c r="L159" s="47"/>
      <c r="M159" s="43"/>
      <c r="N159" s="44"/>
      <c r="O159" s="29"/>
      <c r="P159" s="26"/>
      <c r="Q159" s="26"/>
      <c r="R159" s="26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>
      <c r="A160" s="39"/>
      <c r="B160" s="46"/>
      <c r="C160" s="46"/>
      <c r="D160" s="39"/>
      <c r="E160" s="39"/>
      <c r="F160" s="42"/>
      <c r="G160" s="42"/>
      <c r="H160" s="42"/>
      <c r="I160" s="42"/>
      <c r="J160" s="39"/>
      <c r="K160" s="42"/>
      <c r="L160" s="47"/>
      <c r="M160" s="43"/>
      <c r="N160" s="44"/>
      <c r="O160" s="29"/>
      <c r="P160" s="26"/>
      <c r="Q160" s="26"/>
      <c r="R160" s="26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>
      <c r="A161" s="39"/>
      <c r="B161" s="46"/>
      <c r="C161" s="46"/>
      <c r="D161" s="39"/>
      <c r="E161" s="39"/>
      <c r="F161" s="42"/>
      <c r="G161" s="42"/>
      <c r="H161" s="42"/>
      <c r="I161" s="42"/>
      <c r="J161" s="39"/>
      <c r="K161" s="42"/>
      <c r="L161" s="47"/>
      <c r="M161" s="43"/>
      <c r="N161" s="44"/>
      <c r="O161" s="29"/>
      <c r="P161" s="26"/>
      <c r="Q161" s="26"/>
      <c r="R161" s="26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>
      <c r="A162" s="39"/>
      <c r="B162" s="46"/>
      <c r="C162" s="46"/>
      <c r="D162" s="39"/>
      <c r="E162" s="39"/>
      <c r="F162" s="42"/>
      <c r="G162" s="42"/>
      <c r="H162" s="42"/>
      <c r="I162" s="42"/>
      <c r="J162" s="39"/>
      <c r="K162" s="42"/>
      <c r="L162" s="47"/>
      <c r="M162" s="43"/>
      <c r="N162" s="44"/>
      <c r="O162" s="29"/>
      <c r="P162" s="26"/>
      <c r="Q162" s="26"/>
      <c r="R162" s="26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>
      <c r="A163" s="39"/>
      <c r="B163" s="46"/>
      <c r="C163" s="46"/>
      <c r="D163" s="39"/>
      <c r="E163" s="39"/>
      <c r="F163" s="42"/>
      <c r="G163" s="42"/>
      <c r="H163" s="42"/>
      <c r="I163" s="42"/>
      <c r="J163" s="39"/>
      <c r="K163" s="42"/>
      <c r="L163" s="47"/>
      <c r="M163" s="43"/>
      <c r="N163" s="44"/>
      <c r="O163" s="29"/>
      <c r="P163" s="26"/>
      <c r="Q163" s="26"/>
      <c r="R163" s="26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>
      <c r="A164" s="39"/>
      <c r="B164" s="46"/>
      <c r="C164" s="46"/>
      <c r="D164" s="39"/>
      <c r="E164" s="39"/>
      <c r="F164" s="42"/>
      <c r="G164" s="42"/>
      <c r="H164" s="42"/>
      <c r="I164" s="42"/>
      <c r="J164" s="39"/>
      <c r="K164" s="42"/>
      <c r="L164" s="47"/>
      <c r="M164" s="43"/>
      <c r="N164" s="44"/>
      <c r="O164" s="29"/>
      <c r="P164" s="26"/>
      <c r="Q164" s="26"/>
      <c r="R164" s="26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>
      <c r="A165" s="39"/>
      <c r="B165" s="46"/>
      <c r="C165" s="46"/>
      <c r="D165" s="39"/>
      <c r="E165" s="39"/>
      <c r="F165" s="42"/>
      <c r="G165" s="42"/>
      <c r="H165" s="42"/>
      <c r="I165" s="42"/>
      <c r="J165" s="39"/>
      <c r="K165" s="42"/>
      <c r="L165" s="47"/>
      <c r="M165" s="43"/>
      <c r="N165" s="44"/>
      <c r="O165" s="29"/>
      <c r="P165" s="26"/>
      <c r="Q165" s="26"/>
      <c r="R165" s="26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>
      <c r="A166" s="39"/>
      <c r="B166" s="46"/>
      <c r="C166" s="46"/>
      <c r="D166" s="39"/>
      <c r="E166" s="39"/>
      <c r="F166" s="42"/>
      <c r="G166" s="42"/>
      <c r="H166" s="42"/>
      <c r="I166" s="42"/>
      <c r="J166" s="39"/>
      <c r="K166" s="42"/>
      <c r="L166" s="47"/>
      <c r="M166" s="43"/>
      <c r="N166" s="44"/>
      <c r="O166" s="29"/>
      <c r="P166" s="26"/>
      <c r="Q166" s="26"/>
      <c r="R166" s="26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>
      <c r="A167" s="39"/>
      <c r="B167" s="46"/>
      <c r="C167" s="46"/>
      <c r="D167" s="39"/>
      <c r="E167" s="39"/>
      <c r="F167" s="42"/>
      <c r="G167" s="42"/>
      <c r="H167" s="42"/>
      <c r="I167" s="42"/>
      <c r="J167" s="39"/>
      <c r="K167" s="42"/>
      <c r="L167" s="47"/>
      <c r="M167" s="43"/>
      <c r="N167" s="44"/>
      <c r="O167" s="29"/>
      <c r="P167" s="26"/>
      <c r="Q167" s="26"/>
      <c r="R167" s="26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>
      <c r="A168" s="39"/>
      <c r="B168" s="46"/>
      <c r="C168" s="46"/>
      <c r="D168" s="39"/>
      <c r="E168" s="39"/>
      <c r="F168" s="42"/>
      <c r="G168" s="42"/>
      <c r="H168" s="42"/>
      <c r="I168" s="42"/>
      <c r="J168" s="39"/>
      <c r="K168" s="42"/>
      <c r="L168" s="47"/>
      <c r="M168" s="43"/>
      <c r="N168" s="44"/>
      <c r="O168" s="29"/>
      <c r="P168" s="26"/>
      <c r="Q168" s="26"/>
      <c r="R168" s="26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>
      <c r="A169" s="39"/>
      <c r="B169" s="46"/>
      <c r="C169" s="46"/>
      <c r="D169" s="39"/>
      <c r="E169" s="39"/>
      <c r="F169" s="42"/>
      <c r="G169" s="42"/>
      <c r="H169" s="42"/>
      <c r="I169" s="42"/>
      <c r="J169" s="39"/>
      <c r="K169" s="42"/>
      <c r="L169" s="47"/>
      <c r="M169" s="43"/>
      <c r="N169" s="44"/>
      <c r="O169" s="29"/>
      <c r="P169" s="26"/>
      <c r="Q169" s="26"/>
      <c r="R169" s="26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>
      <c r="A170" s="39"/>
      <c r="B170" s="46"/>
      <c r="C170" s="46"/>
      <c r="D170" s="39"/>
      <c r="E170" s="39"/>
      <c r="F170" s="42"/>
      <c r="G170" s="42"/>
      <c r="H170" s="42"/>
      <c r="I170" s="42"/>
      <c r="J170" s="39"/>
      <c r="K170" s="42"/>
      <c r="L170" s="47"/>
      <c r="M170" s="43"/>
      <c r="N170" s="44"/>
      <c r="O170" s="29"/>
      <c r="P170" s="26"/>
      <c r="Q170" s="26"/>
      <c r="R170" s="26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>
      <c r="A171" s="39"/>
      <c r="B171" s="46"/>
      <c r="C171" s="46"/>
      <c r="D171" s="39"/>
      <c r="E171" s="39"/>
      <c r="F171" s="42"/>
      <c r="G171" s="42"/>
      <c r="H171" s="42"/>
      <c r="I171" s="42"/>
      <c r="J171" s="39"/>
      <c r="K171" s="42"/>
      <c r="L171" s="47"/>
      <c r="M171" s="43"/>
      <c r="N171" s="44"/>
      <c r="O171" s="29"/>
      <c r="P171" s="26"/>
      <c r="Q171" s="26"/>
      <c r="R171" s="26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>
      <c r="A172" s="39"/>
      <c r="B172" s="46"/>
      <c r="C172" s="46"/>
      <c r="D172" s="39"/>
      <c r="E172" s="39"/>
      <c r="F172" s="42"/>
      <c r="G172" s="42"/>
      <c r="H172" s="42"/>
      <c r="I172" s="42"/>
      <c r="J172" s="39"/>
      <c r="K172" s="42"/>
      <c r="L172" s="47"/>
      <c r="M172" s="43"/>
      <c r="N172" s="44"/>
      <c r="O172" s="29"/>
      <c r="P172" s="26"/>
      <c r="Q172" s="26"/>
      <c r="R172" s="26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>
      <c r="A173" s="39"/>
      <c r="B173" s="46"/>
      <c r="C173" s="46"/>
      <c r="D173" s="39"/>
      <c r="E173" s="39"/>
      <c r="F173" s="42"/>
      <c r="G173" s="42"/>
      <c r="H173" s="42"/>
      <c r="I173" s="42"/>
      <c r="J173" s="39"/>
      <c r="K173" s="42"/>
      <c r="L173" s="47"/>
      <c r="M173" s="43"/>
      <c r="N173" s="44"/>
      <c r="O173" s="29"/>
      <c r="P173" s="26"/>
      <c r="Q173" s="26"/>
      <c r="R173" s="26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>
      <c r="A174" s="39"/>
      <c r="B174" s="46"/>
      <c r="C174" s="46"/>
      <c r="D174" s="39"/>
      <c r="E174" s="39"/>
      <c r="F174" s="42"/>
      <c r="G174" s="42"/>
      <c r="H174" s="42"/>
      <c r="I174" s="42"/>
      <c r="J174" s="39"/>
      <c r="K174" s="42"/>
      <c r="L174" s="47"/>
      <c r="M174" s="43"/>
      <c r="N174" s="44"/>
      <c r="O174" s="29"/>
      <c r="P174" s="26"/>
      <c r="Q174" s="26"/>
      <c r="R174" s="26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>
      <c r="A175" s="39"/>
      <c r="B175" s="46"/>
      <c r="C175" s="46"/>
      <c r="D175" s="39"/>
      <c r="E175" s="39"/>
      <c r="F175" s="42"/>
      <c r="G175" s="42"/>
      <c r="H175" s="42"/>
      <c r="I175" s="42"/>
      <c r="J175" s="39"/>
      <c r="K175" s="42"/>
      <c r="L175" s="47"/>
      <c r="M175" s="43"/>
      <c r="N175" s="44"/>
      <c r="O175" s="29"/>
      <c r="P175" s="26"/>
      <c r="Q175" s="26"/>
      <c r="R175" s="26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>
      <c r="A176" s="39"/>
      <c r="B176" s="46"/>
      <c r="C176" s="46"/>
      <c r="D176" s="39"/>
      <c r="E176" s="39"/>
      <c r="F176" s="42"/>
      <c r="G176" s="42"/>
      <c r="H176" s="42"/>
      <c r="I176" s="42"/>
      <c r="J176" s="39"/>
      <c r="K176" s="42"/>
      <c r="L176" s="47"/>
      <c r="M176" s="43"/>
      <c r="N176" s="44"/>
      <c r="O176" s="29"/>
      <c r="P176" s="26"/>
      <c r="Q176" s="26"/>
      <c r="R176" s="26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>
      <c r="A177" s="39"/>
      <c r="B177" s="46"/>
      <c r="C177" s="46"/>
      <c r="D177" s="39"/>
      <c r="E177" s="39"/>
      <c r="F177" s="42"/>
      <c r="G177" s="42"/>
      <c r="H177" s="42"/>
      <c r="I177" s="42"/>
      <c r="J177" s="39"/>
      <c r="K177" s="42"/>
      <c r="L177" s="47"/>
      <c r="M177" s="43"/>
      <c r="N177" s="44"/>
      <c r="O177" s="29"/>
      <c r="P177" s="26"/>
      <c r="Q177" s="26"/>
      <c r="R177" s="26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>
      <c r="A178" s="39"/>
      <c r="B178" s="46"/>
      <c r="C178" s="46"/>
      <c r="D178" s="39"/>
      <c r="E178" s="39"/>
      <c r="F178" s="42"/>
      <c r="G178" s="42"/>
      <c r="H178" s="42"/>
      <c r="I178" s="42"/>
      <c r="J178" s="39"/>
      <c r="K178" s="42"/>
      <c r="L178" s="47"/>
      <c r="M178" s="43"/>
      <c r="N178" s="44"/>
      <c r="O178" s="29"/>
      <c r="P178" s="26"/>
      <c r="Q178" s="26"/>
      <c r="R178" s="26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>
      <c r="A179" s="39"/>
      <c r="B179" s="46"/>
      <c r="C179" s="46"/>
      <c r="D179" s="39"/>
      <c r="E179" s="39"/>
      <c r="F179" s="42"/>
      <c r="G179" s="42"/>
      <c r="H179" s="42"/>
      <c r="I179" s="42"/>
      <c r="J179" s="39"/>
      <c r="K179" s="42"/>
      <c r="L179" s="47"/>
      <c r="M179" s="43"/>
      <c r="N179" s="44"/>
      <c r="O179" s="29"/>
      <c r="P179" s="26"/>
      <c r="Q179" s="26"/>
      <c r="R179" s="26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>
      <c r="A180" s="39"/>
      <c r="B180" s="46"/>
      <c r="C180" s="46"/>
      <c r="D180" s="39"/>
      <c r="E180" s="39"/>
      <c r="F180" s="42"/>
      <c r="G180" s="42"/>
      <c r="H180" s="42"/>
      <c r="I180" s="42"/>
      <c r="J180" s="39"/>
      <c r="K180" s="42"/>
      <c r="L180" s="47"/>
      <c r="M180" s="43"/>
      <c r="N180" s="44"/>
      <c r="O180" s="29"/>
      <c r="P180" s="26"/>
      <c r="Q180" s="26"/>
      <c r="R180" s="26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>
      <c r="A181" s="39"/>
      <c r="B181" s="46"/>
      <c r="C181" s="46"/>
      <c r="D181" s="39"/>
      <c r="E181" s="39"/>
      <c r="F181" s="42"/>
      <c r="G181" s="42"/>
      <c r="H181" s="42"/>
      <c r="I181" s="42"/>
      <c r="J181" s="39"/>
      <c r="K181" s="42"/>
      <c r="L181" s="47"/>
      <c r="M181" s="43"/>
      <c r="N181" s="44"/>
      <c r="O181" s="29"/>
      <c r="P181" s="26"/>
      <c r="Q181" s="26"/>
      <c r="R181" s="26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>
      <c r="A182" s="39"/>
      <c r="B182" s="46"/>
      <c r="C182" s="46"/>
      <c r="D182" s="39"/>
      <c r="E182" s="39"/>
      <c r="F182" s="42"/>
      <c r="G182" s="42"/>
      <c r="H182" s="42"/>
      <c r="I182" s="42"/>
      <c r="J182" s="39"/>
      <c r="K182" s="42"/>
      <c r="L182" s="47"/>
      <c r="M182" s="43"/>
      <c r="N182" s="44"/>
      <c r="O182" s="29"/>
      <c r="P182" s="26"/>
      <c r="Q182" s="26"/>
      <c r="R182" s="26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>
      <c r="A183" s="39"/>
      <c r="B183" s="46"/>
      <c r="C183" s="46"/>
      <c r="D183" s="39"/>
      <c r="E183" s="39"/>
      <c r="F183" s="42"/>
      <c r="G183" s="42"/>
      <c r="H183" s="42"/>
      <c r="I183" s="42"/>
      <c r="J183" s="39"/>
      <c r="K183" s="42"/>
      <c r="L183" s="47"/>
      <c r="M183" s="43"/>
      <c r="N183" s="44"/>
      <c r="O183" s="29"/>
      <c r="P183" s="26"/>
      <c r="Q183" s="26"/>
      <c r="R183" s="26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>
      <c r="A184" s="39"/>
      <c r="B184" s="46"/>
      <c r="C184" s="46"/>
      <c r="D184" s="39"/>
      <c r="E184" s="39"/>
      <c r="F184" s="42"/>
      <c r="G184" s="42"/>
      <c r="H184" s="42"/>
      <c r="I184" s="42"/>
      <c r="J184" s="39"/>
      <c r="K184" s="42"/>
      <c r="L184" s="47"/>
      <c r="M184" s="43"/>
      <c r="N184" s="44"/>
      <c r="O184" s="29"/>
      <c r="P184" s="26"/>
      <c r="Q184" s="26"/>
      <c r="R184" s="26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>
      <c r="A185" s="39"/>
      <c r="B185" s="46"/>
      <c r="C185" s="46"/>
      <c r="D185" s="39"/>
      <c r="E185" s="39"/>
      <c r="F185" s="42"/>
      <c r="G185" s="42"/>
      <c r="H185" s="42"/>
      <c r="I185" s="42"/>
      <c r="J185" s="39"/>
      <c r="K185" s="42"/>
      <c r="L185" s="47"/>
      <c r="M185" s="43"/>
      <c r="N185" s="44"/>
      <c r="O185" s="29"/>
      <c r="P185" s="26"/>
      <c r="Q185" s="26"/>
      <c r="R185" s="26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>
      <c r="A186" s="39"/>
      <c r="B186" s="46"/>
      <c r="C186" s="46"/>
      <c r="D186" s="39"/>
      <c r="E186" s="39"/>
      <c r="F186" s="42"/>
      <c r="G186" s="42"/>
      <c r="H186" s="42"/>
      <c r="I186" s="42"/>
      <c r="J186" s="39"/>
      <c r="K186" s="42"/>
      <c r="L186" s="47"/>
      <c r="M186" s="43"/>
      <c r="N186" s="44"/>
      <c r="O186" s="29"/>
      <c r="P186" s="26"/>
      <c r="Q186" s="26"/>
      <c r="R186" s="26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>
      <c r="A187" s="39"/>
      <c r="B187" s="46"/>
      <c r="C187" s="46"/>
      <c r="D187" s="39"/>
      <c r="E187" s="39"/>
      <c r="F187" s="42"/>
      <c r="G187" s="42"/>
      <c r="H187" s="42"/>
      <c r="I187" s="42"/>
      <c r="J187" s="39"/>
      <c r="K187" s="42"/>
      <c r="L187" s="47"/>
      <c r="M187" s="43"/>
      <c r="N187" s="44"/>
      <c r="O187" s="29"/>
      <c r="P187" s="26"/>
      <c r="Q187" s="26"/>
      <c r="R187" s="26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>
      <c r="A188" s="39"/>
      <c r="B188" s="46"/>
      <c r="C188" s="46"/>
      <c r="D188" s="39"/>
      <c r="E188" s="39"/>
      <c r="F188" s="42"/>
      <c r="G188" s="42"/>
      <c r="H188" s="42"/>
      <c r="I188" s="42"/>
      <c r="J188" s="39"/>
      <c r="K188" s="42"/>
      <c r="L188" s="47"/>
      <c r="M188" s="43"/>
      <c r="N188" s="44"/>
      <c r="O188" s="29"/>
      <c r="P188" s="26"/>
      <c r="Q188" s="26"/>
      <c r="R188" s="26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>
      <c r="A189" s="39"/>
      <c r="B189" s="46"/>
      <c r="C189" s="46"/>
      <c r="D189" s="39"/>
      <c r="E189" s="39"/>
      <c r="F189" s="42"/>
      <c r="G189" s="42"/>
      <c r="H189" s="42"/>
      <c r="I189" s="42"/>
      <c r="J189" s="39"/>
      <c r="K189" s="42"/>
      <c r="L189" s="47"/>
      <c r="M189" s="43"/>
      <c r="N189" s="44"/>
      <c r="O189" s="29"/>
      <c r="P189" s="26"/>
      <c r="Q189" s="26"/>
      <c r="R189" s="26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>
      <c r="A190" s="39"/>
      <c r="B190" s="46"/>
      <c r="C190" s="46"/>
      <c r="D190" s="39"/>
      <c r="E190" s="39"/>
      <c r="F190" s="42"/>
      <c r="G190" s="42"/>
      <c r="H190" s="42"/>
      <c r="I190" s="42"/>
      <c r="J190" s="39"/>
      <c r="K190" s="42"/>
      <c r="L190" s="47"/>
      <c r="M190" s="43"/>
      <c r="N190" s="44"/>
      <c r="O190" s="29"/>
      <c r="P190" s="26"/>
      <c r="Q190" s="26"/>
      <c r="R190" s="26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>
      <c r="A191" s="39"/>
      <c r="B191" s="46"/>
      <c r="C191" s="46"/>
      <c r="D191" s="39"/>
      <c r="E191" s="39"/>
      <c r="F191" s="42"/>
      <c r="G191" s="42"/>
      <c r="H191" s="42"/>
      <c r="I191" s="42"/>
      <c r="J191" s="39"/>
      <c r="K191" s="42"/>
      <c r="L191" s="47"/>
      <c r="M191" s="43"/>
      <c r="N191" s="44"/>
      <c r="O191" s="29"/>
      <c r="P191" s="26"/>
      <c r="Q191" s="26"/>
      <c r="R191" s="26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>
      <c r="A192" s="39"/>
      <c r="B192" s="46"/>
      <c r="C192" s="46"/>
      <c r="D192" s="39"/>
      <c r="E192" s="39"/>
      <c r="F192" s="42"/>
      <c r="G192" s="42"/>
      <c r="H192" s="42"/>
      <c r="I192" s="42"/>
      <c r="J192" s="39"/>
      <c r="K192" s="42"/>
      <c r="L192" s="47"/>
      <c r="M192" s="43"/>
      <c r="N192" s="44"/>
      <c r="O192" s="29"/>
      <c r="P192" s="26"/>
      <c r="Q192" s="26"/>
      <c r="R192" s="26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>
      <c r="A193" s="39"/>
      <c r="B193" s="46"/>
      <c r="C193" s="46"/>
      <c r="D193" s="39"/>
      <c r="E193" s="39"/>
      <c r="F193" s="42"/>
      <c r="G193" s="42"/>
      <c r="H193" s="42"/>
      <c r="I193" s="42"/>
      <c r="J193" s="39"/>
      <c r="K193" s="42"/>
      <c r="L193" s="47"/>
      <c r="M193" s="43"/>
      <c r="N193" s="44"/>
      <c r="O193" s="29"/>
      <c r="P193" s="26"/>
      <c r="Q193" s="26"/>
      <c r="R193" s="26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>
      <c r="A194" s="39"/>
      <c r="B194" s="46"/>
      <c r="C194" s="46"/>
      <c r="D194" s="39"/>
      <c r="E194" s="39"/>
      <c r="F194" s="42"/>
      <c r="G194" s="42"/>
      <c r="H194" s="42"/>
      <c r="I194" s="42"/>
      <c r="J194" s="39"/>
      <c r="K194" s="42"/>
      <c r="L194" s="47"/>
      <c r="M194" s="43"/>
      <c r="N194" s="44"/>
      <c r="O194" s="29"/>
      <c r="P194" s="26"/>
      <c r="Q194" s="26"/>
      <c r="R194" s="26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>
      <c r="A195" s="39"/>
      <c r="B195" s="46"/>
      <c r="C195" s="46"/>
      <c r="D195" s="39"/>
      <c r="E195" s="39"/>
      <c r="F195" s="42"/>
      <c r="G195" s="42"/>
      <c r="H195" s="42"/>
      <c r="I195" s="42"/>
      <c r="J195" s="39"/>
      <c r="K195" s="42"/>
      <c r="L195" s="47"/>
      <c r="M195" s="43"/>
      <c r="N195" s="44"/>
      <c r="O195" s="29"/>
      <c r="P195" s="26"/>
      <c r="Q195" s="26"/>
      <c r="R195" s="26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>
      <c r="A196" s="39"/>
      <c r="B196" s="46"/>
      <c r="C196" s="46"/>
      <c r="D196" s="39"/>
      <c r="E196" s="39"/>
      <c r="F196" s="42"/>
      <c r="G196" s="42"/>
      <c r="H196" s="42"/>
      <c r="I196" s="42"/>
      <c r="J196" s="39"/>
      <c r="K196" s="42"/>
      <c r="L196" s="47"/>
      <c r="M196" s="43"/>
      <c r="N196" s="44"/>
      <c r="O196" s="29"/>
      <c r="P196" s="26"/>
      <c r="Q196" s="26"/>
      <c r="R196" s="26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>
      <c r="A197" s="39"/>
      <c r="B197" s="46"/>
      <c r="C197" s="46"/>
      <c r="D197" s="39"/>
      <c r="E197" s="39"/>
      <c r="F197" s="42"/>
      <c r="G197" s="42"/>
      <c r="H197" s="42"/>
      <c r="I197" s="42"/>
      <c r="J197" s="39"/>
      <c r="K197" s="42"/>
      <c r="L197" s="47"/>
      <c r="M197" s="43"/>
      <c r="N197" s="44"/>
      <c r="O197" s="29"/>
      <c r="P197" s="26"/>
      <c r="Q197" s="26"/>
      <c r="R197" s="26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>
      <c r="A198" s="39"/>
      <c r="B198" s="46"/>
      <c r="C198" s="46"/>
      <c r="D198" s="39"/>
      <c r="E198" s="39"/>
      <c r="F198" s="42"/>
      <c r="G198" s="42"/>
      <c r="H198" s="42"/>
      <c r="I198" s="42"/>
      <c r="J198" s="39"/>
      <c r="K198" s="42"/>
      <c r="L198" s="47"/>
      <c r="M198" s="43"/>
      <c r="N198" s="44"/>
      <c r="O198" s="29"/>
      <c r="P198" s="26"/>
      <c r="Q198" s="26"/>
      <c r="R198" s="26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>
      <c r="A199" s="39"/>
      <c r="B199" s="46"/>
      <c r="C199" s="46"/>
      <c r="D199" s="39"/>
      <c r="E199" s="39"/>
      <c r="F199" s="42"/>
      <c r="G199" s="42"/>
      <c r="H199" s="42"/>
      <c r="I199" s="42"/>
      <c r="J199" s="39"/>
      <c r="K199" s="42"/>
      <c r="L199" s="47"/>
      <c r="M199" s="43"/>
      <c r="N199" s="44"/>
      <c r="O199" s="29"/>
      <c r="P199" s="26"/>
      <c r="Q199" s="26"/>
      <c r="R199" s="26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>
      <c r="A200" s="39"/>
      <c r="B200" s="46"/>
      <c r="C200" s="46"/>
      <c r="D200" s="39"/>
      <c r="E200" s="39"/>
      <c r="F200" s="42"/>
      <c r="G200" s="42"/>
      <c r="H200" s="42"/>
      <c r="I200" s="42"/>
      <c r="J200" s="39"/>
      <c r="K200" s="42"/>
      <c r="L200" s="47"/>
      <c r="M200" s="43"/>
      <c r="N200" s="44"/>
      <c r="O200" s="29"/>
      <c r="P200" s="26"/>
      <c r="Q200" s="26"/>
      <c r="R200" s="26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>
      <c r="A201" s="39"/>
      <c r="B201" s="46"/>
      <c r="C201" s="46"/>
      <c r="D201" s="39"/>
      <c r="E201" s="39"/>
      <c r="F201" s="42"/>
      <c r="G201" s="42"/>
      <c r="H201" s="42"/>
      <c r="I201" s="42"/>
      <c r="J201" s="39"/>
      <c r="K201" s="42"/>
      <c r="L201" s="47"/>
      <c r="M201" s="43"/>
      <c r="N201" s="44"/>
      <c r="O201" s="29"/>
      <c r="P201" s="26"/>
      <c r="Q201" s="26"/>
      <c r="R201" s="26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>
      <c r="A202" s="39"/>
      <c r="B202" s="46"/>
      <c r="C202" s="46"/>
      <c r="D202" s="39"/>
      <c r="E202" s="39"/>
      <c r="F202" s="42"/>
      <c r="G202" s="42"/>
      <c r="H202" s="42"/>
      <c r="I202" s="42"/>
      <c r="J202" s="39"/>
      <c r="K202" s="42"/>
      <c r="L202" s="47"/>
      <c r="M202" s="43"/>
      <c r="N202" s="44"/>
      <c r="O202" s="29"/>
      <c r="P202" s="26"/>
      <c r="Q202" s="26"/>
      <c r="R202" s="26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>
      <c r="A203" s="39"/>
      <c r="B203" s="46"/>
      <c r="C203" s="46"/>
      <c r="D203" s="39"/>
      <c r="E203" s="39"/>
      <c r="F203" s="42"/>
      <c r="G203" s="42"/>
      <c r="H203" s="42"/>
      <c r="I203" s="42"/>
      <c r="J203" s="39"/>
      <c r="K203" s="42"/>
      <c r="L203" s="47"/>
      <c r="M203" s="43"/>
      <c r="N203" s="44"/>
      <c r="O203" s="29"/>
      <c r="P203" s="26"/>
      <c r="Q203" s="26"/>
      <c r="R203" s="26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>
      <c r="A204" s="39"/>
      <c r="B204" s="46"/>
      <c r="C204" s="46"/>
      <c r="D204" s="39"/>
      <c r="E204" s="39"/>
      <c r="F204" s="42"/>
      <c r="G204" s="42"/>
      <c r="H204" s="42"/>
      <c r="I204" s="42"/>
      <c r="J204" s="39"/>
      <c r="K204" s="42"/>
      <c r="L204" s="47"/>
      <c r="M204" s="43"/>
      <c r="N204" s="44"/>
      <c r="O204" s="29"/>
      <c r="P204" s="26"/>
      <c r="Q204" s="26"/>
      <c r="R204" s="26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>
      <c r="A205" s="39"/>
      <c r="B205" s="46"/>
      <c r="C205" s="46"/>
      <c r="D205" s="39"/>
      <c r="E205" s="39"/>
      <c r="F205" s="42"/>
      <c r="G205" s="42"/>
      <c r="H205" s="42"/>
      <c r="I205" s="42"/>
      <c r="J205" s="39"/>
      <c r="K205" s="42"/>
      <c r="L205" s="47"/>
      <c r="M205" s="43"/>
      <c r="N205" s="44"/>
      <c r="O205" s="29"/>
      <c r="P205" s="26"/>
      <c r="Q205" s="26"/>
      <c r="R205" s="26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>
      <c r="A206" s="39"/>
      <c r="B206" s="46"/>
      <c r="C206" s="46"/>
      <c r="D206" s="39"/>
      <c r="E206" s="39"/>
      <c r="F206" s="42"/>
      <c r="G206" s="42"/>
      <c r="H206" s="42"/>
      <c r="I206" s="42"/>
      <c r="J206" s="39"/>
      <c r="K206" s="42"/>
      <c r="L206" s="47"/>
      <c r="M206" s="43"/>
      <c r="N206" s="44"/>
      <c r="O206" s="29"/>
      <c r="P206" s="26"/>
      <c r="Q206" s="26"/>
      <c r="R206" s="26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>
      <c r="A207" s="39"/>
      <c r="B207" s="46"/>
      <c r="C207" s="46"/>
      <c r="D207" s="39"/>
      <c r="E207" s="39"/>
      <c r="F207" s="42"/>
      <c r="G207" s="42"/>
      <c r="H207" s="42"/>
      <c r="I207" s="42"/>
      <c r="J207" s="39"/>
      <c r="K207" s="42"/>
      <c r="L207" s="47"/>
      <c r="M207" s="43"/>
      <c r="N207" s="44"/>
      <c r="O207" s="29"/>
      <c r="P207" s="26"/>
      <c r="Q207" s="26"/>
      <c r="R207" s="26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>
      <c r="A208" s="39"/>
      <c r="B208" s="46"/>
      <c r="C208" s="46"/>
      <c r="D208" s="39"/>
      <c r="E208" s="39"/>
      <c r="F208" s="42"/>
      <c r="G208" s="42"/>
      <c r="H208" s="42"/>
      <c r="I208" s="42"/>
      <c r="J208" s="39"/>
      <c r="K208" s="42"/>
      <c r="L208" s="47"/>
      <c r="M208" s="43"/>
      <c r="N208" s="44"/>
      <c r="O208" s="29"/>
      <c r="P208" s="26"/>
      <c r="Q208" s="26"/>
      <c r="R208" s="26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>
      <c r="A209" s="39"/>
      <c r="B209" s="46"/>
      <c r="C209" s="46"/>
      <c r="D209" s="39"/>
      <c r="E209" s="39"/>
      <c r="F209" s="42"/>
      <c r="G209" s="42"/>
      <c r="H209" s="42"/>
      <c r="I209" s="42"/>
      <c r="J209" s="39"/>
      <c r="K209" s="42"/>
      <c r="L209" s="47"/>
      <c r="M209" s="43"/>
      <c r="N209" s="44"/>
      <c r="O209" s="29"/>
      <c r="P209" s="26"/>
      <c r="Q209" s="26"/>
      <c r="R209" s="26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>
      <c r="A210" s="39"/>
      <c r="B210" s="46"/>
      <c r="C210" s="46"/>
      <c r="D210" s="39"/>
      <c r="E210" s="39"/>
      <c r="F210" s="42"/>
      <c r="G210" s="42"/>
      <c r="H210" s="42"/>
      <c r="I210" s="42"/>
      <c r="J210" s="39"/>
      <c r="K210" s="42"/>
      <c r="L210" s="47"/>
      <c r="M210" s="43"/>
      <c r="N210" s="44"/>
      <c r="O210" s="29"/>
      <c r="P210" s="26"/>
      <c r="Q210" s="26"/>
      <c r="R210" s="26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>
      <c r="A211" s="39"/>
      <c r="B211" s="46"/>
      <c r="C211" s="46"/>
      <c r="D211" s="39"/>
      <c r="E211" s="39"/>
      <c r="F211" s="42"/>
      <c r="G211" s="42"/>
      <c r="H211" s="42"/>
      <c r="I211" s="42"/>
      <c r="J211" s="39"/>
      <c r="K211" s="42"/>
      <c r="L211" s="47"/>
      <c r="M211" s="43"/>
      <c r="N211" s="44"/>
      <c r="O211" s="29"/>
      <c r="P211" s="26"/>
      <c r="Q211" s="26"/>
      <c r="R211" s="26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>
      <c r="A212" s="39"/>
      <c r="B212" s="46"/>
      <c r="C212" s="46"/>
      <c r="D212" s="39"/>
      <c r="E212" s="39"/>
      <c r="F212" s="42"/>
      <c r="G212" s="42"/>
      <c r="H212" s="42"/>
      <c r="I212" s="42"/>
      <c r="J212" s="39"/>
      <c r="K212" s="42"/>
      <c r="L212" s="47"/>
      <c r="M212" s="43"/>
      <c r="N212" s="44"/>
      <c r="O212" s="29"/>
      <c r="P212" s="26"/>
      <c r="Q212" s="26"/>
      <c r="R212" s="26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>
      <c r="A213" s="39"/>
      <c r="B213" s="46"/>
      <c r="C213" s="46"/>
      <c r="D213" s="39"/>
      <c r="E213" s="39"/>
      <c r="F213" s="42"/>
      <c r="G213" s="42"/>
      <c r="H213" s="42"/>
      <c r="I213" s="42"/>
      <c r="J213" s="39"/>
      <c r="K213" s="42"/>
      <c r="L213" s="47"/>
      <c r="M213" s="43"/>
      <c r="N213" s="44"/>
      <c r="O213" s="29"/>
      <c r="P213" s="26"/>
      <c r="Q213" s="26"/>
      <c r="R213" s="26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>
      <c r="A214" s="39"/>
      <c r="B214" s="46"/>
      <c r="C214" s="46"/>
      <c r="D214" s="39"/>
      <c r="E214" s="39"/>
      <c r="F214" s="42"/>
      <c r="G214" s="42"/>
      <c r="H214" s="42"/>
      <c r="I214" s="42"/>
      <c r="J214" s="39"/>
      <c r="K214" s="42"/>
      <c r="L214" s="47"/>
      <c r="M214" s="43"/>
      <c r="N214" s="44"/>
      <c r="O214" s="29"/>
      <c r="P214" s="26"/>
      <c r="Q214" s="26"/>
      <c r="R214" s="26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>
      <c r="A215" s="39"/>
      <c r="B215" s="46"/>
      <c r="C215" s="46"/>
      <c r="D215" s="39"/>
      <c r="E215" s="39"/>
      <c r="F215" s="42"/>
      <c r="G215" s="42"/>
      <c r="H215" s="42"/>
      <c r="I215" s="42"/>
      <c r="J215" s="39"/>
      <c r="K215" s="42"/>
      <c r="L215" s="47"/>
      <c r="M215" s="43"/>
      <c r="N215" s="44"/>
      <c r="O215" s="29"/>
      <c r="P215" s="26"/>
      <c r="Q215" s="26"/>
      <c r="R215" s="26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>
      <c r="A216" s="39"/>
      <c r="B216" s="46"/>
      <c r="C216" s="46"/>
      <c r="D216" s="39"/>
      <c r="E216" s="39"/>
      <c r="F216" s="42"/>
      <c r="G216" s="42"/>
      <c r="H216" s="42"/>
      <c r="I216" s="42"/>
      <c r="J216" s="39"/>
      <c r="K216" s="42"/>
      <c r="L216" s="47"/>
      <c r="M216" s="43"/>
      <c r="N216" s="44"/>
      <c r="O216" s="29"/>
      <c r="P216" s="26"/>
      <c r="Q216" s="26"/>
      <c r="R216" s="26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>
      <c r="A217" s="39"/>
      <c r="B217" s="46"/>
      <c r="C217" s="46"/>
      <c r="D217" s="39"/>
      <c r="E217" s="39"/>
      <c r="F217" s="42"/>
      <c r="G217" s="42"/>
      <c r="H217" s="42"/>
      <c r="I217" s="42"/>
      <c r="J217" s="39"/>
      <c r="K217" s="42"/>
      <c r="L217" s="47"/>
      <c r="M217" s="43"/>
      <c r="N217" s="44"/>
      <c r="O217" s="29"/>
      <c r="P217" s="26"/>
      <c r="Q217" s="26"/>
      <c r="R217" s="26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>
      <c r="A218" s="39"/>
      <c r="B218" s="46"/>
      <c r="C218" s="46"/>
      <c r="D218" s="39"/>
      <c r="E218" s="39"/>
      <c r="F218" s="42"/>
      <c r="G218" s="42"/>
      <c r="H218" s="42"/>
      <c r="I218" s="42"/>
      <c r="J218" s="39"/>
      <c r="K218" s="42"/>
      <c r="L218" s="47"/>
      <c r="M218" s="43"/>
      <c r="N218" s="44"/>
      <c r="O218" s="29"/>
      <c r="P218" s="26"/>
      <c r="Q218" s="26"/>
      <c r="R218" s="26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>
      <c r="A219" s="39"/>
      <c r="B219" s="46"/>
      <c r="C219" s="46"/>
      <c r="D219" s="39"/>
      <c r="E219" s="39"/>
      <c r="F219" s="42"/>
      <c r="G219" s="42"/>
      <c r="H219" s="42"/>
      <c r="I219" s="42"/>
      <c r="J219" s="39"/>
      <c r="K219" s="42"/>
      <c r="L219" s="47"/>
      <c r="M219" s="43"/>
      <c r="N219" s="44"/>
      <c r="O219" s="29"/>
      <c r="P219" s="26"/>
      <c r="Q219" s="26"/>
      <c r="R219" s="26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>
      <c r="A220" s="39"/>
      <c r="B220" s="46"/>
      <c r="C220" s="46"/>
      <c r="D220" s="39"/>
      <c r="E220" s="39"/>
      <c r="F220" s="42"/>
      <c r="G220" s="42"/>
      <c r="H220" s="42"/>
      <c r="I220" s="42"/>
      <c r="J220" s="39"/>
      <c r="K220" s="42"/>
      <c r="L220" s="47"/>
      <c r="M220" s="43"/>
      <c r="N220" s="44"/>
      <c r="O220" s="29"/>
      <c r="P220" s="26"/>
      <c r="Q220" s="26"/>
      <c r="R220" s="26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>
      <c r="A221" s="39"/>
      <c r="B221" s="46"/>
      <c r="C221" s="46"/>
      <c r="D221" s="39"/>
      <c r="E221" s="39"/>
      <c r="F221" s="42"/>
      <c r="G221" s="42"/>
      <c r="H221" s="42"/>
      <c r="I221" s="42"/>
      <c r="J221" s="39"/>
      <c r="K221" s="42"/>
      <c r="L221" s="47"/>
      <c r="M221" s="43"/>
      <c r="N221" s="44"/>
      <c r="O221" s="29"/>
      <c r="P221" s="26"/>
      <c r="Q221" s="26"/>
      <c r="R221" s="26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>
      <c r="A222" s="39"/>
      <c r="B222" s="46"/>
      <c r="C222" s="46"/>
      <c r="D222" s="39"/>
      <c r="E222" s="39"/>
      <c r="F222" s="42"/>
      <c r="G222" s="42"/>
      <c r="H222" s="42"/>
      <c r="I222" s="42"/>
      <c r="J222" s="39"/>
      <c r="K222" s="42"/>
      <c r="L222" s="47"/>
      <c r="M222" s="43"/>
      <c r="N222" s="44"/>
      <c r="O222" s="29"/>
      <c r="P222" s="26"/>
      <c r="Q222" s="26"/>
      <c r="R222" s="26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>
      <c r="A223" s="39"/>
      <c r="B223" s="46"/>
      <c r="C223" s="46"/>
      <c r="D223" s="39"/>
      <c r="E223" s="39"/>
      <c r="F223" s="42"/>
      <c r="G223" s="42"/>
      <c r="H223" s="42"/>
      <c r="I223" s="42"/>
      <c r="J223" s="39"/>
      <c r="K223" s="42"/>
      <c r="L223" s="47"/>
      <c r="M223" s="43"/>
      <c r="N223" s="44"/>
      <c r="O223" s="29"/>
      <c r="P223" s="26"/>
      <c r="Q223" s="26"/>
      <c r="R223" s="26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>
      <c r="A224" s="39"/>
      <c r="B224" s="46"/>
      <c r="C224" s="46"/>
      <c r="D224" s="39"/>
      <c r="E224" s="39"/>
      <c r="F224" s="42"/>
      <c r="G224" s="42"/>
      <c r="H224" s="42"/>
      <c r="I224" s="42"/>
      <c r="J224" s="39"/>
      <c r="K224" s="42"/>
      <c r="L224" s="47"/>
      <c r="M224" s="43"/>
      <c r="N224" s="44"/>
      <c r="O224" s="29"/>
      <c r="P224" s="26"/>
      <c r="Q224" s="26"/>
      <c r="R224" s="26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>
      <c r="A225" s="39"/>
      <c r="B225" s="46"/>
      <c r="C225" s="46"/>
      <c r="D225" s="39"/>
      <c r="E225" s="39"/>
      <c r="F225" s="42"/>
      <c r="G225" s="42"/>
      <c r="H225" s="42"/>
      <c r="I225" s="42"/>
      <c r="J225" s="39"/>
      <c r="K225" s="42"/>
      <c r="L225" s="47"/>
      <c r="M225" s="43"/>
      <c r="N225" s="44"/>
      <c r="O225" s="29"/>
      <c r="P225" s="26"/>
      <c r="Q225" s="26"/>
      <c r="R225" s="26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>
      <c r="A226" s="39"/>
      <c r="B226" s="46"/>
      <c r="C226" s="46"/>
      <c r="D226" s="39"/>
      <c r="E226" s="39"/>
      <c r="F226" s="42"/>
      <c r="G226" s="42"/>
      <c r="H226" s="42"/>
      <c r="I226" s="42"/>
      <c r="J226" s="39"/>
      <c r="K226" s="42"/>
      <c r="L226" s="47"/>
      <c r="M226" s="43"/>
      <c r="N226" s="44"/>
      <c r="O226" s="29"/>
      <c r="P226" s="26"/>
      <c r="Q226" s="26"/>
      <c r="R226" s="26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>
      <c r="A227" s="39"/>
      <c r="B227" s="46"/>
      <c r="C227" s="46"/>
      <c r="D227" s="39"/>
      <c r="E227" s="39"/>
      <c r="F227" s="42"/>
      <c r="G227" s="42"/>
      <c r="H227" s="42"/>
      <c r="I227" s="42"/>
      <c r="J227" s="39"/>
      <c r="K227" s="42"/>
      <c r="L227" s="47"/>
      <c r="M227" s="43"/>
      <c r="N227" s="44"/>
      <c r="O227" s="29"/>
      <c r="P227" s="26"/>
      <c r="Q227" s="26"/>
      <c r="R227" s="26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>
      <c r="A228" s="39"/>
      <c r="B228" s="46"/>
      <c r="C228" s="46"/>
      <c r="D228" s="39"/>
      <c r="E228" s="39"/>
      <c r="F228" s="42"/>
      <c r="G228" s="42"/>
      <c r="H228" s="42"/>
      <c r="I228" s="42"/>
      <c r="J228" s="39"/>
      <c r="K228" s="42"/>
      <c r="L228" s="47"/>
      <c r="M228" s="43"/>
      <c r="N228" s="44"/>
      <c r="O228" s="29"/>
      <c r="P228" s="26"/>
      <c r="Q228" s="26"/>
      <c r="R228" s="26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>
      <c r="A229" s="39"/>
      <c r="B229" s="46"/>
      <c r="C229" s="46"/>
      <c r="D229" s="39"/>
      <c r="E229" s="39"/>
      <c r="F229" s="42"/>
      <c r="G229" s="42"/>
      <c r="H229" s="42"/>
      <c r="I229" s="42"/>
      <c r="J229" s="39"/>
      <c r="K229" s="42"/>
      <c r="L229" s="47"/>
      <c r="M229" s="43"/>
      <c r="N229" s="44"/>
      <c r="O229" s="29"/>
      <c r="P229" s="26"/>
      <c r="Q229" s="26"/>
      <c r="R229" s="26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>
      <c r="A230" s="39"/>
      <c r="B230" s="46"/>
      <c r="C230" s="46"/>
      <c r="D230" s="39"/>
      <c r="E230" s="39"/>
      <c r="F230" s="42"/>
      <c r="G230" s="42"/>
      <c r="H230" s="42"/>
      <c r="I230" s="42"/>
      <c r="J230" s="39"/>
      <c r="K230" s="42"/>
      <c r="L230" s="47"/>
      <c r="M230" s="43"/>
      <c r="N230" s="44"/>
      <c r="O230" s="29"/>
      <c r="P230" s="26"/>
      <c r="Q230" s="26"/>
      <c r="R230" s="26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>
      <c r="A231" s="39"/>
      <c r="B231" s="46"/>
      <c r="C231" s="46"/>
      <c r="D231" s="39"/>
      <c r="E231" s="39"/>
      <c r="F231" s="42"/>
      <c r="G231" s="42"/>
      <c r="H231" s="42"/>
      <c r="I231" s="42"/>
      <c r="J231" s="39"/>
      <c r="K231" s="42"/>
      <c r="L231" s="47"/>
      <c r="M231" s="43"/>
      <c r="N231" s="44"/>
      <c r="O231" s="29"/>
      <c r="P231" s="26"/>
      <c r="Q231" s="26"/>
      <c r="R231" s="26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>
      <c r="A232" s="39"/>
      <c r="B232" s="46"/>
      <c r="C232" s="46"/>
      <c r="D232" s="39"/>
      <c r="E232" s="39"/>
      <c r="F232" s="42"/>
      <c r="G232" s="42"/>
      <c r="H232" s="42"/>
      <c r="I232" s="42"/>
      <c r="J232" s="39"/>
      <c r="K232" s="42"/>
      <c r="L232" s="47"/>
      <c r="M232" s="43"/>
      <c r="N232" s="44"/>
      <c r="O232" s="29"/>
      <c r="P232" s="26"/>
      <c r="Q232" s="26"/>
      <c r="R232" s="26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>
      <c r="A233" s="39"/>
      <c r="B233" s="46"/>
      <c r="C233" s="46"/>
      <c r="D233" s="39"/>
      <c r="E233" s="39"/>
      <c r="F233" s="42"/>
      <c r="G233" s="42"/>
      <c r="H233" s="42"/>
      <c r="I233" s="42"/>
      <c r="J233" s="39"/>
      <c r="K233" s="42"/>
      <c r="L233" s="47"/>
      <c r="M233" s="43"/>
      <c r="N233" s="44"/>
      <c r="O233" s="29"/>
      <c r="P233" s="26"/>
      <c r="Q233" s="26"/>
      <c r="R233" s="26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>
      <c r="A234" s="39"/>
      <c r="B234" s="46"/>
      <c r="C234" s="46"/>
      <c r="D234" s="39"/>
      <c r="E234" s="39"/>
      <c r="F234" s="42"/>
      <c r="G234" s="42"/>
      <c r="H234" s="42"/>
      <c r="I234" s="42"/>
      <c r="J234" s="39"/>
      <c r="K234" s="42"/>
      <c r="L234" s="47"/>
      <c r="M234" s="43"/>
      <c r="N234" s="44"/>
      <c r="O234" s="29"/>
      <c r="P234" s="26"/>
      <c r="Q234" s="26"/>
      <c r="R234" s="26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>
      <c r="A235" s="39"/>
      <c r="B235" s="46"/>
      <c r="C235" s="46"/>
      <c r="D235" s="39"/>
      <c r="E235" s="39"/>
      <c r="F235" s="42"/>
      <c r="G235" s="42"/>
      <c r="H235" s="42"/>
      <c r="I235" s="42"/>
      <c r="J235" s="39"/>
      <c r="K235" s="42"/>
      <c r="L235" s="47"/>
      <c r="M235" s="43"/>
      <c r="N235" s="44"/>
      <c r="O235" s="29"/>
      <c r="P235" s="26"/>
      <c r="Q235" s="26"/>
      <c r="R235" s="26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>
      <c r="A236" s="39"/>
      <c r="B236" s="46"/>
      <c r="C236" s="46"/>
      <c r="D236" s="39"/>
      <c r="E236" s="39"/>
      <c r="F236" s="42"/>
      <c r="G236" s="42"/>
      <c r="H236" s="42"/>
      <c r="I236" s="42"/>
      <c r="J236" s="39"/>
      <c r="K236" s="42"/>
      <c r="L236" s="47"/>
      <c r="M236" s="43"/>
      <c r="N236" s="44"/>
      <c r="O236" s="29"/>
      <c r="P236" s="26"/>
      <c r="Q236" s="26"/>
      <c r="R236" s="26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>
      <c r="A237" s="39"/>
      <c r="B237" s="46"/>
      <c r="C237" s="46"/>
      <c r="D237" s="39"/>
      <c r="E237" s="39"/>
      <c r="F237" s="42"/>
      <c r="G237" s="42"/>
      <c r="H237" s="42"/>
      <c r="I237" s="42"/>
      <c r="J237" s="39"/>
      <c r="K237" s="42"/>
      <c r="L237" s="47"/>
      <c r="M237" s="43"/>
      <c r="N237" s="44"/>
      <c r="O237" s="29"/>
      <c r="P237" s="26"/>
      <c r="Q237" s="26"/>
      <c r="R237" s="26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>
      <c r="A238" s="39"/>
      <c r="B238" s="46"/>
      <c r="C238" s="46"/>
      <c r="D238" s="39"/>
      <c r="E238" s="39"/>
      <c r="F238" s="42"/>
      <c r="G238" s="42"/>
      <c r="H238" s="42"/>
      <c r="I238" s="42"/>
      <c r="J238" s="39"/>
      <c r="K238" s="42"/>
      <c r="L238" s="47"/>
      <c r="M238" s="43"/>
      <c r="N238" s="44"/>
      <c r="O238" s="29"/>
      <c r="P238" s="26"/>
      <c r="Q238" s="26"/>
      <c r="R238" s="26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>
      <c r="A239" s="39"/>
      <c r="B239" s="46"/>
      <c r="C239" s="46"/>
      <c r="D239" s="39"/>
      <c r="E239" s="39"/>
      <c r="F239" s="42"/>
      <c r="G239" s="42"/>
      <c r="H239" s="42"/>
      <c r="I239" s="42"/>
      <c r="J239" s="39"/>
      <c r="K239" s="42"/>
      <c r="L239" s="47"/>
      <c r="M239" s="43"/>
      <c r="N239" s="44"/>
      <c r="O239" s="29"/>
      <c r="P239" s="26"/>
      <c r="Q239" s="26"/>
      <c r="R239" s="26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>
      <c r="A240" s="39"/>
      <c r="B240" s="46"/>
      <c r="C240" s="46"/>
      <c r="D240" s="39"/>
      <c r="E240" s="39"/>
      <c r="F240" s="42"/>
      <c r="G240" s="42"/>
      <c r="H240" s="42"/>
      <c r="I240" s="42"/>
      <c r="J240" s="39"/>
      <c r="K240" s="42"/>
      <c r="L240" s="47"/>
      <c r="M240" s="43"/>
      <c r="N240" s="44"/>
      <c r="O240" s="29"/>
      <c r="P240" s="26"/>
      <c r="Q240" s="26"/>
      <c r="R240" s="26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>
      <c r="A241" s="39"/>
      <c r="B241" s="46"/>
      <c r="C241" s="46"/>
      <c r="D241" s="39"/>
      <c r="E241" s="39"/>
      <c r="F241" s="42"/>
      <c r="G241" s="42"/>
      <c r="H241" s="42"/>
      <c r="I241" s="42"/>
      <c r="J241" s="39"/>
      <c r="K241" s="42"/>
      <c r="L241" s="47"/>
      <c r="M241" s="43"/>
      <c r="N241" s="44"/>
      <c r="O241" s="29"/>
      <c r="P241" s="26"/>
      <c r="Q241" s="26"/>
      <c r="R241" s="26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>
      <c r="A242" s="39"/>
      <c r="B242" s="46"/>
      <c r="C242" s="46"/>
      <c r="D242" s="39"/>
      <c r="E242" s="39"/>
      <c r="F242" s="42"/>
      <c r="G242" s="42"/>
      <c r="H242" s="42"/>
      <c r="I242" s="42"/>
      <c r="J242" s="39"/>
      <c r="K242" s="42"/>
      <c r="L242" s="47"/>
      <c r="M242" s="43"/>
      <c r="N242" s="44"/>
      <c r="O242" s="29"/>
      <c r="P242" s="26"/>
      <c r="Q242" s="26"/>
      <c r="R242" s="26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>
      <c r="A243" s="39"/>
      <c r="B243" s="46"/>
      <c r="C243" s="46"/>
      <c r="D243" s="39"/>
      <c r="E243" s="39"/>
      <c r="F243" s="42"/>
      <c r="G243" s="42"/>
      <c r="H243" s="42"/>
      <c r="I243" s="42"/>
      <c r="J243" s="39"/>
      <c r="K243" s="42"/>
      <c r="L243" s="47"/>
      <c r="M243" s="43"/>
      <c r="N243" s="44"/>
      <c r="O243" s="29"/>
      <c r="P243" s="26"/>
      <c r="Q243" s="26"/>
      <c r="R243" s="26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>
      <c r="A244" s="39"/>
      <c r="B244" s="46"/>
      <c r="C244" s="46"/>
      <c r="D244" s="39"/>
      <c r="E244" s="39"/>
      <c r="F244" s="42"/>
      <c r="G244" s="42"/>
      <c r="H244" s="42"/>
      <c r="I244" s="42"/>
      <c r="J244" s="39"/>
      <c r="K244" s="42"/>
      <c r="L244" s="47"/>
      <c r="M244" s="43"/>
      <c r="N244" s="44"/>
      <c r="O244" s="29"/>
      <c r="P244" s="26"/>
      <c r="Q244" s="26"/>
      <c r="R244" s="26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>
      <c r="A245" s="39"/>
      <c r="B245" s="46"/>
      <c r="C245" s="46"/>
      <c r="D245" s="39"/>
      <c r="E245" s="39"/>
      <c r="F245" s="42"/>
      <c r="G245" s="42"/>
      <c r="H245" s="42"/>
      <c r="I245" s="42"/>
      <c r="J245" s="39"/>
      <c r="K245" s="42"/>
      <c r="L245" s="47"/>
      <c r="M245" s="43"/>
      <c r="N245" s="44"/>
      <c r="O245" s="29"/>
      <c r="P245" s="26"/>
      <c r="Q245" s="26"/>
      <c r="R245" s="26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>
      <c r="A246" s="39"/>
      <c r="B246" s="46"/>
      <c r="C246" s="46"/>
      <c r="D246" s="39"/>
      <c r="E246" s="39"/>
      <c r="F246" s="42"/>
      <c r="G246" s="42"/>
      <c r="H246" s="42"/>
      <c r="I246" s="42"/>
      <c r="J246" s="39"/>
      <c r="K246" s="42"/>
      <c r="L246" s="47"/>
      <c r="M246" s="43"/>
      <c r="N246" s="44"/>
      <c r="O246" s="29"/>
      <c r="P246" s="26"/>
      <c r="Q246" s="26"/>
      <c r="R246" s="26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>
      <c r="A247" s="39"/>
      <c r="B247" s="46"/>
      <c r="C247" s="46"/>
      <c r="D247" s="39"/>
      <c r="E247" s="39"/>
      <c r="F247" s="42"/>
      <c r="G247" s="42"/>
      <c r="H247" s="42"/>
      <c r="I247" s="42"/>
      <c r="J247" s="39"/>
      <c r="K247" s="42"/>
      <c r="L247" s="47"/>
      <c r="M247" s="43"/>
      <c r="N247" s="44"/>
      <c r="O247" s="29"/>
      <c r="P247" s="26"/>
      <c r="Q247" s="26"/>
      <c r="R247" s="26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>
      <c r="A248" s="39"/>
      <c r="B248" s="46"/>
      <c r="C248" s="46"/>
      <c r="D248" s="39"/>
      <c r="E248" s="39"/>
      <c r="F248" s="42"/>
      <c r="G248" s="42"/>
      <c r="H248" s="42"/>
      <c r="I248" s="42"/>
      <c r="J248" s="39"/>
      <c r="K248" s="42"/>
      <c r="L248" s="47"/>
      <c r="M248" s="43"/>
      <c r="N248" s="44"/>
      <c r="O248" s="29"/>
      <c r="P248" s="26"/>
      <c r="Q248" s="26"/>
      <c r="R248" s="26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>
      <c r="A249" s="39"/>
      <c r="B249" s="46"/>
      <c r="C249" s="46"/>
      <c r="D249" s="39"/>
      <c r="E249" s="39"/>
      <c r="F249" s="42"/>
      <c r="G249" s="42"/>
      <c r="H249" s="42"/>
      <c r="I249" s="42"/>
      <c r="J249" s="39"/>
      <c r="K249" s="42"/>
      <c r="L249" s="47"/>
      <c r="M249" s="43"/>
      <c r="N249" s="44"/>
      <c r="O249" s="29"/>
      <c r="P249" s="26"/>
      <c r="Q249" s="26"/>
      <c r="R249" s="26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>
      <c r="A250" s="39"/>
      <c r="B250" s="46"/>
      <c r="C250" s="46"/>
      <c r="D250" s="39"/>
      <c r="E250" s="39"/>
      <c r="F250" s="42"/>
      <c r="G250" s="42"/>
      <c r="H250" s="42"/>
      <c r="I250" s="42"/>
      <c r="J250" s="39"/>
      <c r="K250" s="42"/>
      <c r="L250" s="47"/>
      <c r="M250" s="43"/>
      <c r="N250" s="44"/>
      <c r="O250" s="29"/>
      <c r="P250" s="26"/>
      <c r="Q250" s="26"/>
      <c r="R250" s="26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>
      <c r="A251" s="39"/>
      <c r="B251" s="46"/>
      <c r="C251" s="46"/>
      <c r="D251" s="39"/>
      <c r="E251" s="39"/>
      <c r="F251" s="42"/>
      <c r="G251" s="42"/>
      <c r="H251" s="42"/>
      <c r="I251" s="42"/>
      <c r="J251" s="39"/>
      <c r="K251" s="42"/>
      <c r="L251" s="47"/>
      <c r="M251" s="43"/>
      <c r="N251" s="44"/>
      <c r="O251" s="29"/>
      <c r="P251" s="26"/>
      <c r="Q251" s="26"/>
      <c r="R251" s="26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>
      <c r="A252" s="39"/>
      <c r="B252" s="46"/>
      <c r="C252" s="46"/>
      <c r="D252" s="39"/>
      <c r="E252" s="39"/>
      <c r="F252" s="42"/>
      <c r="G252" s="42"/>
      <c r="H252" s="42"/>
      <c r="I252" s="42"/>
      <c r="J252" s="39"/>
      <c r="K252" s="42"/>
      <c r="L252" s="47"/>
      <c r="M252" s="43"/>
      <c r="N252" s="44"/>
      <c r="O252" s="29"/>
      <c r="P252" s="26"/>
      <c r="Q252" s="26"/>
      <c r="R252" s="26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>
      <c r="A253" s="39"/>
      <c r="B253" s="46"/>
      <c r="C253" s="46"/>
      <c r="D253" s="39"/>
      <c r="E253" s="39"/>
      <c r="F253" s="42"/>
      <c r="G253" s="42"/>
      <c r="H253" s="42"/>
      <c r="I253" s="42"/>
      <c r="J253" s="39"/>
      <c r="K253" s="42"/>
      <c r="L253" s="47"/>
      <c r="M253" s="43"/>
      <c r="N253" s="44"/>
      <c r="O253" s="29"/>
      <c r="P253" s="26"/>
      <c r="Q253" s="26"/>
      <c r="R253" s="26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>
      <c r="A254" s="39"/>
      <c r="B254" s="46"/>
      <c r="C254" s="46"/>
      <c r="D254" s="39"/>
      <c r="E254" s="39"/>
      <c r="F254" s="42"/>
      <c r="G254" s="42"/>
      <c r="H254" s="42"/>
      <c r="I254" s="42"/>
      <c r="J254" s="39"/>
      <c r="K254" s="42"/>
      <c r="L254" s="47"/>
      <c r="M254" s="43"/>
      <c r="N254" s="44"/>
      <c r="O254" s="29"/>
      <c r="P254" s="26"/>
      <c r="Q254" s="26"/>
      <c r="R254" s="26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>
      <c r="A255" s="39"/>
      <c r="B255" s="46"/>
      <c r="C255" s="46"/>
      <c r="D255" s="39"/>
      <c r="E255" s="39"/>
      <c r="F255" s="42"/>
      <c r="G255" s="42"/>
      <c r="H255" s="42"/>
      <c r="I255" s="42"/>
      <c r="J255" s="39"/>
      <c r="K255" s="42"/>
      <c r="L255" s="47"/>
      <c r="M255" s="43"/>
      <c r="N255" s="44"/>
      <c r="O255" s="29"/>
      <c r="P255" s="26"/>
      <c r="Q255" s="26"/>
      <c r="R255" s="26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>
      <c r="A256" s="39"/>
      <c r="B256" s="46"/>
      <c r="C256" s="46"/>
      <c r="D256" s="39"/>
      <c r="E256" s="39"/>
      <c r="F256" s="42"/>
      <c r="G256" s="42"/>
      <c r="H256" s="42"/>
      <c r="I256" s="42"/>
      <c r="J256" s="39"/>
      <c r="K256" s="42"/>
      <c r="L256" s="47"/>
      <c r="M256" s="43"/>
      <c r="N256" s="44"/>
      <c r="O256" s="29"/>
      <c r="P256" s="26"/>
      <c r="Q256" s="26"/>
      <c r="R256" s="26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>
      <c r="A257" s="39"/>
      <c r="B257" s="46"/>
      <c r="C257" s="46"/>
      <c r="D257" s="39"/>
      <c r="E257" s="39"/>
      <c r="F257" s="42"/>
      <c r="G257" s="42"/>
      <c r="H257" s="42"/>
      <c r="I257" s="42"/>
      <c r="J257" s="39"/>
      <c r="K257" s="42"/>
      <c r="L257" s="47"/>
      <c r="M257" s="43"/>
      <c r="N257" s="44"/>
      <c r="O257" s="29"/>
      <c r="P257" s="26"/>
      <c r="Q257" s="26"/>
      <c r="R257" s="26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>
      <c r="A258" s="39"/>
      <c r="B258" s="46"/>
      <c r="C258" s="46"/>
      <c r="D258" s="39"/>
      <c r="E258" s="39"/>
      <c r="F258" s="42"/>
      <c r="G258" s="42"/>
      <c r="H258" s="42"/>
      <c r="I258" s="42"/>
      <c r="J258" s="39"/>
      <c r="K258" s="42"/>
      <c r="L258" s="47"/>
      <c r="M258" s="43"/>
      <c r="N258" s="44"/>
      <c r="O258" s="29"/>
      <c r="P258" s="26"/>
      <c r="Q258" s="26"/>
      <c r="R258" s="26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>
      <c r="A259" s="39"/>
      <c r="B259" s="46"/>
      <c r="C259" s="46"/>
      <c r="D259" s="39"/>
      <c r="E259" s="39"/>
      <c r="F259" s="42"/>
      <c r="G259" s="42"/>
      <c r="H259" s="42"/>
      <c r="I259" s="42"/>
      <c r="J259" s="39"/>
      <c r="K259" s="42"/>
      <c r="L259" s="47"/>
      <c r="M259" s="43"/>
      <c r="N259" s="44"/>
      <c r="O259" s="29"/>
      <c r="P259" s="26"/>
      <c r="Q259" s="26"/>
      <c r="R259" s="26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>
      <c r="A260" s="39"/>
      <c r="B260" s="46"/>
      <c r="C260" s="46"/>
      <c r="D260" s="39"/>
      <c r="E260" s="39"/>
      <c r="F260" s="42"/>
      <c r="G260" s="42"/>
      <c r="H260" s="42"/>
      <c r="I260" s="42"/>
      <c r="J260" s="39"/>
      <c r="K260" s="42"/>
      <c r="L260" s="47"/>
      <c r="M260" s="43"/>
      <c r="N260" s="44"/>
      <c r="O260" s="29"/>
      <c r="P260" s="26"/>
      <c r="Q260" s="26"/>
      <c r="R260" s="26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>
      <c r="A261" s="39"/>
      <c r="B261" s="46"/>
      <c r="C261" s="46"/>
      <c r="D261" s="39"/>
      <c r="E261" s="39"/>
      <c r="F261" s="42"/>
      <c r="G261" s="42"/>
      <c r="H261" s="42"/>
      <c r="I261" s="42"/>
      <c r="J261" s="39"/>
      <c r="K261" s="42"/>
      <c r="L261" s="47"/>
      <c r="M261" s="43"/>
      <c r="N261" s="44"/>
      <c r="O261" s="29"/>
      <c r="P261" s="26"/>
      <c r="Q261" s="26"/>
      <c r="R261" s="26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>
      <c r="A262" s="39"/>
      <c r="B262" s="46"/>
      <c r="C262" s="46"/>
      <c r="D262" s="39"/>
      <c r="E262" s="39"/>
      <c r="F262" s="42"/>
      <c r="G262" s="42"/>
      <c r="H262" s="42"/>
      <c r="I262" s="42"/>
      <c r="J262" s="39"/>
      <c r="K262" s="42"/>
      <c r="L262" s="47"/>
      <c r="M262" s="43"/>
      <c r="N262" s="44"/>
      <c r="O262" s="29"/>
      <c r="P262" s="26"/>
      <c r="Q262" s="26"/>
      <c r="R262" s="26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>
      <c r="A263" s="39"/>
      <c r="B263" s="46"/>
      <c r="C263" s="46"/>
      <c r="D263" s="39"/>
      <c r="E263" s="39"/>
      <c r="F263" s="42"/>
      <c r="G263" s="42"/>
      <c r="H263" s="42"/>
      <c r="I263" s="42"/>
      <c r="J263" s="39"/>
      <c r="K263" s="42"/>
      <c r="L263" s="47"/>
      <c r="M263" s="43"/>
      <c r="N263" s="44"/>
      <c r="O263" s="29"/>
      <c r="P263" s="26"/>
      <c r="Q263" s="26"/>
      <c r="R263" s="26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>
      <c r="A264" s="39"/>
      <c r="B264" s="46"/>
      <c r="C264" s="46"/>
      <c r="D264" s="39"/>
      <c r="E264" s="39"/>
      <c r="F264" s="42"/>
      <c r="G264" s="42"/>
      <c r="H264" s="42"/>
      <c r="I264" s="42"/>
      <c r="J264" s="39"/>
      <c r="K264" s="42"/>
      <c r="L264" s="47"/>
      <c r="M264" s="43"/>
      <c r="N264" s="44"/>
      <c r="O264" s="29"/>
      <c r="P264" s="26"/>
      <c r="Q264" s="26"/>
      <c r="R264" s="26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>
      <c r="A265" s="39"/>
      <c r="B265" s="46"/>
      <c r="C265" s="46"/>
      <c r="D265" s="39"/>
      <c r="E265" s="39"/>
      <c r="F265" s="42"/>
      <c r="G265" s="42"/>
      <c r="H265" s="42"/>
      <c r="I265" s="42"/>
      <c r="J265" s="39"/>
      <c r="K265" s="42"/>
      <c r="L265" s="47"/>
      <c r="M265" s="43"/>
      <c r="N265" s="44"/>
      <c r="O265" s="29"/>
      <c r="P265" s="26"/>
      <c r="Q265" s="26"/>
      <c r="R265" s="26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>
      <c r="A266" s="39"/>
      <c r="B266" s="46"/>
      <c r="C266" s="46"/>
      <c r="D266" s="39"/>
      <c r="E266" s="39"/>
      <c r="F266" s="42"/>
      <c r="G266" s="42"/>
      <c r="H266" s="42"/>
      <c r="I266" s="42"/>
      <c r="J266" s="39"/>
      <c r="K266" s="42"/>
      <c r="L266" s="47"/>
      <c r="M266" s="43"/>
      <c r="N266" s="44"/>
      <c r="O266" s="29"/>
      <c r="P266" s="26"/>
      <c r="Q266" s="26"/>
      <c r="R266" s="26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>
      <c r="A267" s="39"/>
      <c r="B267" s="46"/>
      <c r="C267" s="46"/>
      <c r="D267" s="39"/>
      <c r="E267" s="39"/>
      <c r="F267" s="42"/>
      <c r="G267" s="42"/>
      <c r="H267" s="42"/>
      <c r="I267" s="42"/>
      <c r="J267" s="39"/>
      <c r="K267" s="42"/>
      <c r="L267" s="47"/>
      <c r="M267" s="43"/>
      <c r="N267" s="44"/>
      <c r="O267" s="29"/>
      <c r="P267" s="26"/>
      <c r="Q267" s="26"/>
      <c r="R267" s="26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>
      <c r="A268" s="39"/>
      <c r="B268" s="46"/>
      <c r="C268" s="46"/>
      <c r="D268" s="39"/>
      <c r="E268" s="39"/>
      <c r="F268" s="42"/>
      <c r="G268" s="42"/>
      <c r="H268" s="42"/>
      <c r="I268" s="42"/>
      <c r="J268" s="39"/>
      <c r="K268" s="42"/>
      <c r="L268" s="47"/>
      <c r="M268" s="43"/>
      <c r="N268" s="44"/>
      <c r="O268" s="29"/>
      <c r="P268" s="26"/>
      <c r="Q268" s="26"/>
      <c r="R268" s="26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>
      <c r="A269" s="39"/>
      <c r="B269" s="46"/>
      <c r="C269" s="46"/>
      <c r="D269" s="39"/>
      <c r="E269" s="39"/>
      <c r="F269" s="42"/>
      <c r="G269" s="42"/>
      <c r="H269" s="42"/>
      <c r="I269" s="42"/>
      <c r="J269" s="39"/>
      <c r="K269" s="42"/>
      <c r="L269" s="47"/>
      <c r="M269" s="43"/>
      <c r="N269" s="44"/>
      <c r="O269" s="29"/>
      <c r="P269" s="26"/>
      <c r="Q269" s="26"/>
      <c r="R269" s="26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>
      <c r="A270" s="39"/>
      <c r="B270" s="46"/>
      <c r="C270" s="46"/>
      <c r="D270" s="39"/>
      <c r="E270" s="39"/>
      <c r="F270" s="42"/>
      <c r="G270" s="42"/>
      <c r="H270" s="42"/>
      <c r="I270" s="42"/>
      <c r="J270" s="39"/>
      <c r="K270" s="42"/>
      <c r="L270" s="47"/>
      <c r="M270" s="43"/>
      <c r="N270" s="44"/>
      <c r="O270" s="29"/>
      <c r="P270" s="26"/>
      <c r="Q270" s="26"/>
      <c r="R270" s="26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>
      <c r="A271" s="39"/>
      <c r="B271" s="46"/>
      <c r="C271" s="46"/>
      <c r="D271" s="39"/>
      <c r="E271" s="39"/>
      <c r="F271" s="42"/>
      <c r="G271" s="42"/>
      <c r="H271" s="42"/>
      <c r="I271" s="42"/>
      <c r="J271" s="39"/>
      <c r="K271" s="42"/>
      <c r="L271" s="47"/>
      <c r="M271" s="43"/>
      <c r="N271" s="44"/>
      <c r="O271" s="29"/>
      <c r="P271" s="26"/>
      <c r="Q271" s="26"/>
      <c r="R271" s="26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>
      <c r="A272" s="39"/>
      <c r="B272" s="46"/>
      <c r="C272" s="46"/>
      <c r="D272" s="39"/>
      <c r="E272" s="39"/>
      <c r="F272" s="42"/>
      <c r="G272" s="42"/>
      <c r="H272" s="42"/>
      <c r="I272" s="42"/>
      <c r="J272" s="39"/>
      <c r="K272" s="42"/>
      <c r="L272" s="47"/>
      <c r="M272" s="43"/>
      <c r="N272" s="44"/>
      <c r="O272" s="29"/>
      <c r="P272" s="26"/>
      <c r="Q272" s="26"/>
      <c r="R272" s="26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>
      <c r="A273" s="39"/>
      <c r="B273" s="46"/>
      <c r="C273" s="46"/>
      <c r="D273" s="39"/>
      <c r="E273" s="39"/>
      <c r="F273" s="42"/>
      <c r="G273" s="42"/>
      <c r="H273" s="42"/>
      <c r="I273" s="42"/>
      <c r="J273" s="39"/>
      <c r="K273" s="42"/>
      <c r="L273" s="47"/>
      <c r="M273" s="43"/>
      <c r="N273" s="44"/>
      <c r="O273" s="29"/>
      <c r="P273" s="26"/>
      <c r="Q273" s="26"/>
      <c r="R273" s="26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>
      <c r="A274" s="39"/>
      <c r="B274" s="46"/>
      <c r="C274" s="46"/>
      <c r="D274" s="39"/>
      <c r="E274" s="39"/>
      <c r="F274" s="42"/>
      <c r="G274" s="42"/>
      <c r="H274" s="42"/>
      <c r="I274" s="42"/>
      <c r="J274" s="39"/>
      <c r="K274" s="42"/>
      <c r="L274" s="47"/>
      <c r="M274" s="43"/>
      <c r="N274" s="44"/>
      <c r="O274" s="29"/>
      <c r="P274" s="26"/>
      <c r="Q274" s="26"/>
      <c r="R274" s="26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>
      <c r="A275" s="39"/>
      <c r="B275" s="46"/>
      <c r="C275" s="46"/>
      <c r="D275" s="39"/>
      <c r="E275" s="39"/>
      <c r="F275" s="42"/>
      <c r="G275" s="42"/>
      <c r="H275" s="42"/>
      <c r="I275" s="42"/>
      <c r="J275" s="39"/>
      <c r="K275" s="42"/>
      <c r="L275" s="47"/>
      <c r="M275" s="43"/>
      <c r="N275" s="44"/>
      <c r="O275" s="29"/>
      <c r="P275" s="26"/>
      <c r="Q275" s="26"/>
      <c r="R275" s="26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>
      <c r="A276" s="39"/>
      <c r="B276" s="46"/>
      <c r="C276" s="46"/>
      <c r="D276" s="39"/>
      <c r="E276" s="39"/>
      <c r="F276" s="42"/>
      <c r="G276" s="42"/>
      <c r="H276" s="42"/>
      <c r="I276" s="42"/>
      <c r="J276" s="39"/>
      <c r="K276" s="42"/>
      <c r="L276" s="47"/>
      <c r="M276" s="43"/>
      <c r="N276" s="44"/>
      <c r="O276" s="29"/>
      <c r="P276" s="26"/>
      <c r="Q276" s="26"/>
      <c r="R276" s="26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>
      <c r="A277" s="39"/>
      <c r="B277" s="46"/>
      <c r="C277" s="46"/>
      <c r="D277" s="39"/>
      <c r="E277" s="39"/>
      <c r="F277" s="42"/>
      <c r="G277" s="42"/>
      <c r="H277" s="42"/>
      <c r="I277" s="42"/>
      <c r="J277" s="39"/>
      <c r="K277" s="42"/>
      <c r="L277" s="47"/>
      <c r="M277" s="43"/>
      <c r="N277" s="44"/>
      <c r="O277" s="29"/>
      <c r="P277" s="26"/>
      <c r="Q277" s="26"/>
      <c r="R277" s="26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>
      <c r="A278" s="39"/>
      <c r="B278" s="46"/>
      <c r="C278" s="46"/>
      <c r="D278" s="39"/>
      <c r="E278" s="39"/>
      <c r="F278" s="42"/>
      <c r="G278" s="42"/>
      <c r="H278" s="42"/>
      <c r="I278" s="42"/>
      <c r="J278" s="39"/>
      <c r="K278" s="42"/>
      <c r="L278" s="47"/>
      <c r="M278" s="43"/>
      <c r="N278" s="44"/>
      <c r="O278" s="29"/>
      <c r="P278" s="26"/>
      <c r="Q278" s="26"/>
      <c r="R278" s="26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>
      <c r="A279" s="39"/>
      <c r="B279" s="46"/>
      <c r="C279" s="46"/>
      <c r="D279" s="39"/>
      <c r="E279" s="39"/>
      <c r="F279" s="42"/>
      <c r="G279" s="42"/>
      <c r="H279" s="42"/>
      <c r="I279" s="42"/>
      <c r="J279" s="39"/>
      <c r="K279" s="42"/>
      <c r="L279" s="47"/>
      <c r="M279" s="43"/>
      <c r="N279" s="44"/>
      <c r="O279" s="29"/>
      <c r="P279" s="26"/>
      <c r="Q279" s="26"/>
      <c r="R279" s="26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>
      <c r="A280" s="39"/>
      <c r="B280" s="46"/>
      <c r="C280" s="46"/>
      <c r="D280" s="39"/>
      <c r="E280" s="39"/>
      <c r="F280" s="42"/>
      <c r="G280" s="42"/>
      <c r="H280" s="42"/>
      <c r="I280" s="42"/>
      <c r="J280" s="39"/>
      <c r="K280" s="42"/>
      <c r="L280" s="47"/>
      <c r="M280" s="43"/>
      <c r="N280" s="44"/>
      <c r="O280" s="29"/>
      <c r="P280" s="26"/>
      <c r="Q280" s="26"/>
      <c r="R280" s="26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>
      <c r="A281" s="39"/>
      <c r="B281" s="46"/>
      <c r="C281" s="46"/>
      <c r="D281" s="39"/>
      <c r="E281" s="39"/>
      <c r="F281" s="42"/>
      <c r="G281" s="42"/>
      <c r="H281" s="42"/>
      <c r="I281" s="42"/>
      <c r="J281" s="39"/>
      <c r="K281" s="42"/>
      <c r="L281" s="47"/>
      <c r="M281" s="43"/>
      <c r="N281" s="44"/>
      <c r="O281" s="29"/>
      <c r="P281" s="26"/>
      <c r="Q281" s="26"/>
      <c r="R281" s="26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>
      <c r="A282" s="39"/>
      <c r="B282" s="46"/>
      <c r="C282" s="46"/>
      <c r="D282" s="39"/>
      <c r="E282" s="39"/>
      <c r="F282" s="42"/>
      <c r="G282" s="42"/>
      <c r="H282" s="42"/>
      <c r="I282" s="42"/>
      <c r="J282" s="39"/>
      <c r="K282" s="42"/>
      <c r="L282" s="47"/>
      <c r="M282" s="43"/>
      <c r="N282" s="44"/>
      <c r="O282" s="29"/>
      <c r="P282" s="26"/>
      <c r="Q282" s="26"/>
      <c r="R282" s="26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>
      <c r="A283" s="39"/>
      <c r="B283" s="46"/>
      <c r="C283" s="46"/>
      <c r="D283" s="39"/>
      <c r="E283" s="39"/>
      <c r="F283" s="42"/>
      <c r="G283" s="42"/>
      <c r="H283" s="42"/>
      <c r="I283" s="42"/>
      <c r="J283" s="39"/>
      <c r="K283" s="42"/>
      <c r="L283" s="47"/>
      <c r="M283" s="43"/>
      <c r="N283" s="44"/>
      <c r="O283" s="29"/>
      <c r="P283" s="26"/>
      <c r="Q283" s="26"/>
      <c r="R283" s="26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>
      <c r="A284" s="39"/>
      <c r="B284" s="46"/>
      <c r="C284" s="46"/>
      <c r="D284" s="39"/>
      <c r="E284" s="39"/>
      <c r="F284" s="42"/>
      <c r="G284" s="42"/>
      <c r="H284" s="42"/>
      <c r="I284" s="42"/>
      <c r="J284" s="39"/>
      <c r="K284" s="42"/>
      <c r="L284" s="47"/>
      <c r="M284" s="43"/>
      <c r="N284" s="44"/>
      <c r="O284" s="29"/>
      <c r="P284" s="26"/>
      <c r="Q284" s="26"/>
      <c r="R284" s="26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>
      <c r="A285" s="39"/>
      <c r="B285" s="46"/>
      <c r="C285" s="46"/>
      <c r="D285" s="39"/>
      <c r="E285" s="39"/>
      <c r="F285" s="42"/>
      <c r="G285" s="42"/>
      <c r="H285" s="42"/>
      <c r="I285" s="42"/>
      <c r="J285" s="39"/>
      <c r="K285" s="42"/>
      <c r="L285" s="47"/>
      <c r="M285" s="43"/>
      <c r="N285" s="44"/>
      <c r="O285" s="29"/>
      <c r="P285" s="26"/>
      <c r="Q285" s="26"/>
      <c r="R285" s="26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>
      <c r="A286" s="39"/>
      <c r="B286" s="46"/>
      <c r="C286" s="46"/>
      <c r="D286" s="39"/>
      <c r="E286" s="39"/>
      <c r="F286" s="42"/>
      <c r="G286" s="42"/>
      <c r="H286" s="42"/>
      <c r="I286" s="42"/>
      <c r="J286" s="39"/>
      <c r="K286" s="42"/>
      <c r="L286" s="47"/>
      <c r="M286" s="43"/>
      <c r="N286" s="44"/>
      <c r="O286" s="29"/>
      <c r="P286" s="26"/>
      <c r="Q286" s="26"/>
      <c r="R286" s="26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>
      <c r="A287" s="39"/>
      <c r="B287" s="46"/>
      <c r="C287" s="46"/>
      <c r="D287" s="39"/>
      <c r="E287" s="39"/>
      <c r="F287" s="42"/>
      <c r="G287" s="42"/>
      <c r="H287" s="42"/>
      <c r="I287" s="42"/>
      <c r="J287" s="39"/>
      <c r="K287" s="42"/>
      <c r="L287" s="47"/>
      <c r="M287" s="43"/>
      <c r="N287" s="44"/>
      <c r="O287" s="29"/>
      <c r="P287" s="26"/>
      <c r="Q287" s="26"/>
      <c r="R287" s="26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>
      <c r="A288" s="39"/>
      <c r="B288" s="46"/>
      <c r="C288" s="46"/>
      <c r="D288" s="39"/>
      <c r="E288" s="39"/>
      <c r="F288" s="42"/>
      <c r="G288" s="42"/>
      <c r="H288" s="42"/>
      <c r="I288" s="42"/>
      <c r="J288" s="39"/>
      <c r="K288" s="42"/>
      <c r="L288" s="47"/>
      <c r="M288" s="43"/>
      <c r="N288" s="44"/>
      <c r="O288" s="29"/>
      <c r="P288" s="26"/>
      <c r="Q288" s="26"/>
      <c r="R288" s="26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>
      <c r="A289" s="39"/>
      <c r="B289" s="46"/>
      <c r="C289" s="46"/>
      <c r="D289" s="39"/>
      <c r="E289" s="39"/>
      <c r="F289" s="42"/>
      <c r="G289" s="42"/>
      <c r="H289" s="42"/>
      <c r="I289" s="42"/>
      <c r="J289" s="39"/>
      <c r="K289" s="42"/>
      <c r="L289" s="47"/>
      <c r="M289" s="43"/>
      <c r="N289" s="44"/>
      <c r="O289" s="29"/>
      <c r="P289" s="26"/>
      <c r="Q289" s="26"/>
      <c r="R289" s="26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>
      <c r="A290" s="39"/>
      <c r="B290" s="46"/>
      <c r="C290" s="46"/>
      <c r="D290" s="39"/>
      <c r="E290" s="39"/>
      <c r="F290" s="42"/>
      <c r="G290" s="42"/>
      <c r="H290" s="42"/>
      <c r="I290" s="42"/>
      <c r="J290" s="39"/>
      <c r="K290" s="42"/>
      <c r="L290" s="47"/>
      <c r="M290" s="43"/>
      <c r="N290" s="44"/>
      <c r="O290" s="29"/>
      <c r="P290" s="26"/>
      <c r="Q290" s="26"/>
      <c r="R290" s="26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>
      <c r="A291" s="39"/>
      <c r="B291" s="46"/>
      <c r="C291" s="46"/>
      <c r="D291" s="39"/>
      <c r="E291" s="39"/>
      <c r="F291" s="42"/>
      <c r="G291" s="42"/>
      <c r="H291" s="42"/>
      <c r="I291" s="42"/>
      <c r="J291" s="39"/>
      <c r="K291" s="42"/>
      <c r="L291" s="47"/>
      <c r="M291" s="43"/>
      <c r="N291" s="44"/>
      <c r="O291" s="29"/>
      <c r="P291" s="26"/>
      <c r="Q291" s="26"/>
      <c r="R291" s="26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>
      <c r="A292" s="39"/>
      <c r="B292" s="46"/>
      <c r="C292" s="46"/>
      <c r="D292" s="39"/>
      <c r="E292" s="39"/>
      <c r="F292" s="42"/>
      <c r="G292" s="42"/>
      <c r="H292" s="42"/>
      <c r="I292" s="42"/>
      <c r="J292" s="39"/>
      <c r="K292" s="42"/>
      <c r="L292" s="47"/>
      <c r="M292" s="43"/>
      <c r="N292" s="44"/>
      <c r="O292" s="29"/>
      <c r="P292" s="26"/>
      <c r="Q292" s="26"/>
      <c r="R292" s="26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>
      <c r="A293" s="39"/>
      <c r="B293" s="46"/>
      <c r="C293" s="46"/>
      <c r="D293" s="39"/>
      <c r="E293" s="39"/>
      <c r="F293" s="42"/>
      <c r="G293" s="42"/>
      <c r="H293" s="42"/>
      <c r="I293" s="42"/>
      <c r="J293" s="39"/>
      <c r="K293" s="42"/>
      <c r="L293" s="47"/>
      <c r="M293" s="43"/>
      <c r="N293" s="44"/>
      <c r="O293" s="29"/>
      <c r="P293" s="26"/>
      <c r="Q293" s="26"/>
      <c r="R293" s="26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>
      <c r="A294" s="39"/>
      <c r="B294" s="46"/>
      <c r="C294" s="46"/>
      <c r="D294" s="39"/>
      <c r="E294" s="39"/>
      <c r="F294" s="42"/>
      <c r="G294" s="42"/>
      <c r="H294" s="42"/>
      <c r="I294" s="42"/>
      <c r="J294" s="39"/>
      <c r="K294" s="42"/>
      <c r="L294" s="47"/>
      <c r="M294" s="43"/>
      <c r="N294" s="44"/>
      <c r="O294" s="29"/>
      <c r="P294" s="26"/>
      <c r="Q294" s="26"/>
      <c r="R294" s="26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>
      <c r="A295" s="39"/>
      <c r="B295" s="46"/>
      <c r="C295" s="46"/>
      <c r="D295" s="39"/>
      <c r="E295" s="39"/>
      <c r="F295" s="42"/>
      <c r="G295" s="42"/>
      <c r="H295" s="42"/>
      <c r="I295" s="42"/>
      <c r="J295" s="39"/>
      <c r="K295" s="42"/>
      <c r="L295" s="47"/>
      <c r="M295" s="43"/>
      <c r="N295" s="44"/>
      <c r="O295" s="29"/>
      <c r="P295" s="26"/>
      <c r="Q295" s="26"/>
      <c r="R295" s="26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>
      <c r="A296" s="39"/>
      <c r="B296" s="46"/>
      <c r="C296" s="46"/>
      <c r="D296" s="39"/>
      <c r="E296" s="39"/>
      <c r="F296" s="42"/>
      <c r="G296" s="42"/>
      <c r="H296" s="42"/>
      <c r="I296" s="42"/>
      <c r="J296" s="39"/>
      <c r="K296" s="42"/>
      <c r="L296" s="47"/>
      <c r="M296" s="43"/>
      <c r="N296" s="44"/>
      <c r="O296" s="29"/>
      <c r="P296" s="26"/>
      <c r="Q296" s="26"/>
      <c r="R296" s="26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>
      <c r="A297" s="39"/>
      <c r="B297" s="46"/>
      <c r="C297" s="46"/>
      <c r="D297" s="39"/>
      <c r="E297" s="39"/>
      <c r="F297" s="42"/>
      <c r="G297" s="42"/>
      <c r="H297" s="42"/>
      <c r="I297" s="42"/>
      <c r="J297" s="39"/>
      <c r="K297" s="42"/>
      <c r="L297" s="47"/>
      <c r="M297" s="43"/>
      <c r="N297" s="44"/>
      <c r="O297" s="29"/>
      <c r="P297" s="26"/>
      <c r="Q297" s="26"/>
      <c r="R297" s="26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>
      <c r="A298" s="39"/>
      <c r="B298" s="46"/>
      <c r="C298" s="46"/>
      <c r="D298" s="39"/>
      <c r="E298" s="39"/>
      <c r="F298" s="42"/>
      <c r="G298" s="42"/>
      <c r="H298" s="42"/>
      <c r="I298" s="42"/>
      <c r="J298" s="39"/>
      <c r="K298" s="42"/>
      <c r="L298" s="47"/>
      <c r="M298" s="43"/>
      <c r="N298" s="44"/>
      <c r="O298" s="29"/>
      <c r="P298" s="26"/>
      <c r="Q298" s="26"/>
      <c r="R298" s="26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>
      <c r="A299" s="39"/>
      <c r="B299" s="46"/>
      <c r="C299" s="46"/>
      <c r="D299" s="39"/>
      <c r="E299" s="39"/>
      <c r="F299" s="42"/>
      <c r="G299" s="42"/>
      <c r="H299" s="42"/>
      <c r="I299" s="42"/>
      <c r="J299" s="39"/>
      <c r="K299" s="42"/>
      <c r="L299" s="47"/>
      <c r="M299" s="43"/>
      <c r="N299" s="44"/>
      <c r="O299" s="29"/>
      <c r="P299" s="26"/>
      <c r="Q299" s="26"/>
      <c r="R299" s="26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>
      <c r="A300" s="39"/>
      <c r="B300" s="46"/>
      <c r="C300" s="46"/>
      <c r="D300" s="39"/>
      <c r="E300" s="39"/>
      <c r="F300" s="42"/>
      <c r="G300" s="42"/>
      <c r="H300" s="42"/>
      <c r="I300" s="42"/>
      <c r="J300" s="39"/>
      <c r="K300" s="42"/>
      <c r="L300" s="47"/>
      <c r="M300" s="43"/>
      <c r="N300" s="44"/>
      <c r="O300" s="29"/>
      <c r="P300" s="26"/>
      <c r="Q300" s="26"/>
      <c r="R300" s="26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>
      <c r="A301" s="39"/>
      <c r="B301" s="46"/>
      <c r="C301" s="46"/>
      <c r="D301" s="39"/>
      <c r="E301" s="39"/>
      <c r="F301" s="42"/>
      <c r="G301" s="42"/>
      <c r="H301" s="42"/>
      <c r="I301" s="42"/>
      <c r="J301" s="39"/>
      <c r="K301" s="42"/>
      <c r="L301" s="47"/>
      <c r="M301" s="43"/>
      <c r="N301" s="44"/>
      <c r="O301" s="29"/>
      <c r="P301" s="26"/>
      <c r="Q301" s="26"/>
      <c r="R301" s="26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>
      <c r="A302" s="39"/>
      <c r="B302" s="46"/>
      <c r="C302" s="46"/>
      <c r="D302" s="39"/>
      <c r="E302" s="39"/>
      <c r="F302" s="42"/>
      <c r="G302" s="42"/>
      <c r="H302" s="42"/>
      <c r="I302" s="42"/>
      <c r="J302" s="39"/>
      <c r="K302" s="42"/>
      <c r="L302" s="47"/>
      <c r="M302" s="43"/>
      <c r="N302" s="44"/>
      <c r="O302" s="29"/>
      <c r="P302" s="26"/>
      <c r="Q302" s="26"/>
      <c r="R302" s="26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>
      <c r="A303" s="39"/>
      <c r="B303" s="46"/>
      <c r="C303" s="46"/>
      <c r="D303" s="39"/>
      <c r="E303" s="39"/>
      <c r="F303" s="42"/>
      <c r="G303" s="42"/>
      <c r="H303" s="42"/>
      <c r="I303" s="42"/>
      <c r="J303" s="39"/>
      <c r="K303" s="42"/>
      <c r="L303" s="47"/>
      <c r="M303" s="43"/>
      <c r="N303" s="44"/>
      <c r="O303" s="29"/>
      <c r="P303" s="26"/>
      <c r="Q303" s="26"/>
      <c r="R303" s="26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>
      <c r="A304" s="39"/>
      <c r="B304" s="46"/>
      <c r="C304" s="46"/>
      <c r="D304" s="39"/>
      <c r="E304" s="39"/>
      <c r="F304" s="42"/>
      <c r="G304" s="42"/>
      <c r="H304" s="42"/>
      <c r="I304" s="42"/>
      <c r="J304" s="39"/>
      <c r="K304" s="42"/>
      <c r="L304" s="47"/>
      <c r="M304" s="43"/>
      <c r="N304" s="44"/>
      <c r="O304" s="29"/>
      <c r="P304" s="26"/>
      <c r="Q304" s="26"/>
      <c r="R304" s="26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>
      <c r="A305" s="39"/>
      <c r="B305" s="46"/>
      <c r="C305" s="46"/>
      <c r="D305" s="39"/>
      <c r="E305" s="39"/>
      <c r="F305" s="42"/>
      <c r="G305" s="42"/>
      <c r="H305" s="42"/>
      <c r="I305" s="42"/>
      <c r="J305" s="39"/>
      <c r="K305" s="42"/>
      <c r="L305" s="47"/>
      <c r="M305" s="43"/>
      <c r="N305" s="44"/>
      <c r="O305" s="29"/>
      <c r="P305" s="26"/>
      <c r="Q305" s="26"/>
      <c r="R305" s="26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>
      <c r="A306" s="39"/>
      <c r="B306" s="46"/>
      <c r="C306" s="46"/>
      <c r="D306" s="39"/>
      <c r="E306" s="39"/>
      <c r="F306" s="42"/>
      <c r="G306" s="42"/>
      <c r="H306" s="42"/>
      <c r="I306" s="42"/>
      <c r="J306" s="39"/>
      <c r="K306" s="42"/>
      <c r="L306" s="47"/>
      <c r="M306" s="43"/>
      <c r="N306" s="44"/>
      <c r="O306" s="29"/>
      <c r="P306" s="26"/>
      <c r="Q306" s="26"/>
      <c r="R306" s="26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>
      <c r="A307" s="39"/>
      <c r="B307" s="46"/>
      <c r="C307" s="46"/>
      <c r="D307" s="39"/>
      <c r="E307" s="39"/>
      <c r="F307" s="42"/>
      <c r="G307" s="42"/>
      <c r="H307" s="42"/>
      <c r="I307" s="42"/>
      <c r="J307" s="39"/>
      <c r="K307" s="42"/>
      <c r="L307" s="47"/>
      <c r="M307" s="43"/>
      <c r="N307" s="44"/>
      <c r="O307" s="29"/>
      <c r="P307" s="26"/>
      <c r="Q307" s="26"/>
      <c r="R307" s="26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>
      <c r="A308" s="39"/>
      <c r="B308" s="46"/>
      <c r="C308" s="46"/>
      <c r="D308" s="39"/>
      <c r="E308" s="39"/>
      <c r="F308" s="42"/>
      <c r="G308" s="42"/>
      <c r="H308" s="42"/>
      <c r="I308" s="42"/>
      <c r="J308" s="39"/>
      <c r="K308" s="42"/>
      <c r="L308" s="47"/>
      <c r="M308" s="43"/>
      <c r="N308" s="44"/>
      <c r="O308" s="29"/>
      <c r="P308" s="26"/>
      <c r="Q308" s="26"/>
      <c r="R308" s="26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>
      <c r="A309" s="39"/>
      <c r="B309" s="46"/>
      <c r="C309" s="46"/>
      <c r="D309" s="39"/>
      <c r="E309" s="39"/>
      <c r="F309" s="42"/>
      <c r="G309" s="42"/>
      <c r="H309" s="42"/>
      <c r="I309" s="42"/>
      <c r="J309" s="39"/>
      <c r="K309" s="42"/>
      <c r="L309" s="47"/>
      <c r="M309" s="43"/>
      <c r="N309" s="44"/>
      <c r="O309" s="29"/>
      <c r="P309" s="26"/>
      <c r="Q309" s="26"/>
      <c r="R309" s="26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>
      <c r="A310" s="39"/>
      <c r="B310" s="46"/>
      <c r="C310" s="46"/>
      <c r="D310" s="39"/>
      <c r="E310" s="39"/>
      <c r="F310" s="42"/>
      <c r="G310" s="42"/>
      <c r="H310" s="42"/>
      <c r="I310" s="42"/>
      <c r="J310" s="39"/>
      <c r="K310" s="42"/>
      <c r="L310" s="47"/>
      <c r="M310" s="43"/>
      <c r="N310" s="44"/>
      <c r="O310" s="29"/>
      <c r="P310" s="26"/>
      <c r="Q310" s="26"/>
      <c r="R310" s="26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>
      <c r="A311" s="39"/>
      <c r="B311" s="46"/>
      <c r="C311" s="46"/>
      <c r="D311" s="39"/>
      <c r="E311" s="39"/>
      <c r="F311" s="42"/>
      <c r="G311" s="42"/>
      <c r="H311" s="42"/>
      <c r="I311" s="42"/>
      <c r="J311" s="39"/>
      <c r="K311" s="42"/>
      <c r="L311" s="47"/>
      <c r="M311" s="43"/>
      <c r="N311" s="44"/>
      <c r="O311" s="29"/>
      <c r="P311" s="26"/>
      <c r="Q311" s="26"/>
      <c r="R311" s="26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>
      <c r="A312" s="39"/>
      <c r="B312" s="46"/>
      <c r="C312" s="46"/>
      <c r="D312" s="39"/>
      <c r="E312" s="39"/>
      <c r="F312" s="42"/>
      <c r="G312" s="42"/>
      <c r="H312" s="42"/>
      <c r="I312" s="42"/>
      <c r="J312" s="39"/>
      <c r="K312" s="42"/>
      <c r="L312" s="47"/>
      <c r="M312" s="43"/>
      <c r="N312" s="44"/>
      <c r="O312" s="29"/>
      <c r="P312" s="26"/>
      <c r="Q312" s="26"/>
      <c r="R312" s="26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>
      <c r="A313" s="39"/>
      <c r="B313" s="46"/>
      <c r="C313" s="46"/>
      <c r="D313" s="39"/>
      <c r="E313" s="39"/>
      <c r="F313" s="42"/>
      <c r="G313" s="42"/>
      <c r="H313" s="42"/>
      <c r="I313" s="42"/>
      <c r="J313" s="39"/>
      <c r="K313" s="42"/>
      <c r="L313" s="47"/>
      <c r="M313" s="43"/>
      <c r="N313" s="44"/>
      <c r="O313" s="29"/>
      <c r="P313" s="26"/>
      <c r="Q313" s="26"/>
      <c r="R313" s="26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>
      <c r="A314" s="39"/>
      <c r="B314" s="46"/>
      <c r="C314" s="46"/>
      <c r="D314" s="39"/>
      <c r="E314" s="39"/>
      <c r="F314" s="42"/>
      <c r="G314" s="42"/>
      <c r="H314" s="42"/>
      <c r="I314" s="42"/>
      <c r="J314" s="39"/>
      <c r="K314" s="42"/>
      <c r="L314" s="47"/>
      <c r="M314" s="43"/>
      <c r="N314" s="44"/>
      <c r="O314" s="29"/>
      <c r="P314" s="26"/>
      <c r="Q314" s="26"/>
      <c r="R314" s="26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>
      <c r="A315" s="39"/>
      <c r="B315" s="46"/>
      <c r="C315" s="46"/>
      <c r="D315" s="39"/>
      <c r="E315" s="39"/>
      <c r="F315" s="42"/>
      <c r="G315" s="42"/>
      <c r="H315" s="42"/>
      <c r="I315" s="42"/>
      <c r="J315" s="39"/>
      <c r="K315" s="42"/>
      <c r="L315" s="47"/>
      <c r="M315" s="43"/>
      <c r="N315" s="44"/>
      <c r="O315" s="29"/>
      <c r="P315" s="26"/>
      <c r="Q315" s="26"/>
      <c r="R315" s="26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>
      <c r="A316" s="39"/>
      <c r="B316" s="46"/>
      <c r="C316" s="46"/>
      <c r="D316" s="39"/>
      <c r="E316" s="39"/>
      <c r="F316" s="42"/>
      <c r="G316" s="42"/>
      <c r="H316" s="42"/>
      <c r="I316" s="42"/>
      <c r="J316" s="39"/>
      <c r="K316" s="42"/>
      <c r="L316" s="47"/>
      <c r="M316" s="43"/>
      <c r="N316" s="44"/>
      <c r="O316" s="29"/>
      <c r="P316" s="26"/>
      <c r="Q316" s="26"/>
      <c r="R316" s="26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>
      <c r="A317" s="39"/>
      <c r="B317" s="46"/>
      <c r="C317" s="46"/>
      <c r="D317" s="39"/>
      <c r="E317" s="39"/>
      <c r="F317" s="42"/>
      <c r="G317" s="42"/>
      <c r="H317" s="42"/>
      <c r="I317" s="42"/>
      <c r="J317" s="39"/>
      <c r="K317" s="42"/>
      <c r="L317" s="47"/>
      <c r="M317" s="43"/>
      <c r="N317" s="44"/>
      <c r="O317" s="29"/>
      <c r="P317" s="26"/>
      <c r="Q317" s="26"/>
      <c r="R317" s="26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>
      <c r="A318" s="39"/>
      <c r="B318" s="46"/>
      <c r="C318" s="46"/>
      <c r="D318" s="39"/>
      <c r="E318" s="39"/>
      <c r="F318" s="42"/>
      <c r="G318" s="42"/>
      <c r="H318" s="42"/>
      <c r="I318" s="42"/>
      <c r="J318" s="39"/>
      <c r="K318" s="42"/>
      <c r="L318" s="47"/>
      <c r="M318" s="43"/>
      <c r="N318" s="44"/>
      <c r="O318" s="29"/>
      <c r="P318" s="26"/>
      <c r="Q318" s="26"/>
      <c r="R318" s="26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>
      <c r="A319" s="39"/>
      <c r="B319" s="46"/>
      <c r="C319" s="46"/>
      <c r="D319" s="39"/>
      <c r="E319" s="39"/>
      <c r="F319" s="42"/>
      <c r="G319" s="42"/>
      <c r="H319" s="42"/>
      <c r="I319" s="42"/>
      <c r="J319" s="39"/>
      <c r="K319" s="42"/>
      <c r="L319" s="47"/>
      <c r="M319" s="43"/>
      <c r="N319" s="44"/>
      <c r="O319" s="29"/>
      <c r="P319" s="26"/>
      <c r="Q319" s="26"/>
      <c r="R319" s="26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>
      <c r="A320" s="39"/>
      <c r="B320" s="46"/>
      <c r="C320" s="46"/>
      <c r="D320" s="39"/>
      <c r="E320" s="39"/>
      <c r="F320" s="42"/>
      <c r="G320" s="42"/>
      <c r="H320" s="42"/>
      <c r="I320" s="42"/>
      <c r="J320" s="39"/>
      <c r="K320" s="42"/>
      <c r="L320" s="47"/>
      <c r="M320" s="43"/>
      <c r="N320" s="44"/>
      <c r="O320" s="29"/>
      <c r="P320" s="26"/>
      <c r="Q320" s="26"/>
      <c r="R320" s="26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>
      <c r="A321" s="39"/>
      <c r="B321" s="46"/>
      <c r="C321" s="46"/>
      <c r="D321" s="39"/>
      <c r="E321" s="39"/>
      <c r="F321" s="42"/>
      <c r="G321" s="42"/>
      <c r="H321" s="42"/>
      <c r="I321" s="42"/>
      <c r="J321" s="39"/>
      <c r="K321" s="42"/>
      <c r="L321" s="47"/>
      <c r="M321" s="43"/>
      <c r="N321" s="44"/>
      <c r="O321" s="29"/>
      <c r="P321" s="26"/>
      <c r="Q321" s="26"/>
      <c r="R321" s="26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>
      <c r="A322" s="39"/>
      <c r="B322" s="46"/>
      <c r="C322" s="46"/>
      <c r="D322" s="39"/>
      <c r="E322" s="39"/>
      <c r="F322" s="42"/>
      <c r="G322" s="42"/>
      <c r="H322" s="42"/>
      <c r="I322" s="42"/>
      <c r="J322" s="39"/>
      <c r="K322" s="42"/>
      <c r="L322" s="47"/>
      <c r="M322" s="43"/>
      <c r="N322" s="44"/>
      <c r="O322" s="29"/>
      <c r="P322" s="26"/>
      <c r="Q322" s="26"/>
      <c r="R322" s="26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>
      <c r="A323" s="39"/>
      <c r="B323" s="46"/>
      <c r="C323" s="46"/>
      <c r="D323" s="39"/>
      <c r="E323" s="39"/>
      <c r="F323" s="42"/>
      <c r="G323" s="42"/>
      <c r="H323" s="42"/>
      <c r="I323" s="42"/>
      <c r="J323" s="39"/>
      <c r="K323" s="42"/>
      <c r="L323" s="47"/>
      <c r="M323" s="43"/>
      <c r="N323" s="44"/>
      <c r="O323" s="29"/>
      <c r="P323" s="26"/>
      <c r="Q323" s="26"/>
      <c r="R323" s="26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>
      <c r="A324" s="39"/>
      <c r="B324" s="46"/>
      <c r="C324" s="46"/>
      <c r="D324" s="39"/>
      <c r="E324" s="39"/>
      <c r="F324" s="42"/>
      <c r="G324" s="42"/>
      <c r="H324" s="42"/>
      <c r="I324" s="42"/>
      <c r="J324" s="39"/>
      <c r="K324" s="42"/>
      <c r="L324" s="47"/>
      <c r="M324" s="43"/>
      <c r="N324" s="44"/>
      <c r="O324" s="29"/>
      <c r="P324" s="26"/>
      <c r="Q324" s="26"/>
      <c r="R324" s="26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>
      <c r="A325" s="39"/>
      <c r="B325" s="46"/>
      <c r="C325" s="46"/>
      <c r="D325" s="39"/>
      <c r="E325" s="39"/>
      <c r="F325" s="42"/>
      <c r="G325" s="42"/>
      <c r="H325" s="42"/>
      <c r="I325" s="42"/>
      <c r="J325" s="39"/>
      <c r="K325" s="42"/>
      <c r="L325" s="47"/>
      <c r="M325" s="43"/>
      <c r="N325" s="44"/>
      <c r="O325" s="29"/>
      <c r="P325" s="26"/>
      <c r="Q325" s="26"/>
      <c r="R325" s="26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>
      <c r="A326" s="39"/>
      <c r="B326" s="46"/>
      <c r="C326" s="46"/>
      <c r="D326" s="39"/>
      <c r="E326" s="39"/>
      <c r="F326" s="42"/>
      <c r="G326" s="42"/>
      <c r="H326" s="42"/>
      <c r="I326" s="42"/>
      <c r="J326" s="39"/>
      <c r="K326" s="42"/>
      <c r="L326" s="47"/>
      <c r="M326" s="43"/>
      <c r="N326" s="44"/>
      <c r="O326" s="29"/>
      <c r="P326" s="26"/>
      <c r="Q326" s="26"/>
      <c r="R326" s="26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>
      <c r="A327" s="39"/>
      <c r="B327" s="46"/>
      <c r="C327" s="46"/>
      <c r="D327" s="39"/>
      <c r="E327" s="39"/>
      <c r="F327" s="42"/>
      <c r="G327" s="42"/>
      <c r="H327" s="42"/>
      <c r="I327" s="42"/>
      <c r="J327" s="39"/>
      <c r="K327" s="42"/>
      <c r="L327" s="47"/>
      <c r="M327" s="43"/>
      <c r="N327" s="44"/>
      <c r="O327" s="29"/>
      <c r="P327" s="26"/>
      <c r="Q327" s="26"/>
      <c r="R327" s="26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>
      <c r="A328" s="39"/>
      <c r="B328" s="46"/>
      <c r="C328" s="46"/>
      <c r="D328" s="39"/>
      <c r="E328" s="39"/>
      <c r="F328" s="42"/>
      <c r="G328" s="42"/>
      <c r="H328" s="42"/>
      <c r="I328" s="42"/>
      <c r="J328" s="39"/>
      <c r="K328" s="42"/>
      <c r="L328" s="47"/>
      <c r="M328" s="43"/>
      <c r="N328" s="44"/>
      <c r="O328" s="29"/>
      <c r="P328" s="26"/>
      <c r="Q328" s="26"/>
      <c r="R328" s="26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>
      <c r="A329" s="39"/>
      <c r="B329" s="46"/>
      <c r="C329" s="46"/>
      <c r="D329" s="39"/>
      <c r="E329" s="39"/>
      <c r="F329" s="42"/>
      <c r="G329" s="42"/>
      <c r="H329" s="42"/>
      <c r="I329" s="42"/>
      <c r="J329" s="39"/>
      <c r="K329" s="42"/>
      <c r="L329" s="47"/>
      <c r="M329" s="43"/>
      <c r="N329" s="44"/>
      <c r="O329" s="29"/>
      <c r="P329" s="26"/>
      <c r="Q329" s="26"/>
      <c r="R329" s="26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>
      <c r="A330" s="39"/>
      <c r="B330" s="46"/>
      <c r="C330" s="46"/>
      <c r="D330" s="39"/>
      <c r="E330" s="39"/>
      <c r="F330" s="42"/>
      <c r="G330" s="42"/>
      <c r="H330" s="42"/>
      <c r="I330" s="42"/>
      <c r="J330" s="39"/>
      <c r="K330" s="42"/>
      <c r="L330" s="47"/>
      <c r="M330" s="43"/>
      <c r="N330" s="44"/>
      <c r="O330" s="29"/>
      <c r="P330" s="26"/>
      <c r="Q330" s="26"/>
      <c r="R330" s="26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>
      <c r="A331" s="39"/>
      <c r="B331" s="46"/>
      <c r="C331" s="46"/>
      <c r="D331" s="39"/>
      <c r="E331" s="39"/>
      <c r="F331" s="42"/>
      <c r="G331" s="42"/>
      <c r="H331" s="42"/>
      <c r="I331" s="42"/>
      <c r="J331" s="39"/>
      <c r="K331" s="42"/>
      <c r="L331" s="47"/>
      <c r="M331" s="43"/>
      <c r="N331" s="44"/>
      <c r="O331" s="29"/>
      <c r="P331" s="26"/>
      <c r="Q331" s="26"/>
      <c r="R331" s="26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>
      <c r="A332" s="39"/>
      <c r="B332" s="46"/>
      <c r="C332" s="46"/>
      <c r="D332" s="39"/>
      <c r="E332" s="39"/>
      <c r="F332" s="42"/>
      <c r="G332" s="42"/>
      <c r="H332" s="42"/>
      <c r="I332" s="42"/>
      <c r="J332" s="39"/>
      <c r="K332" s="42"/>
      <c r="L332" s="47"/>
      <c r="M332" s="43"/>
      <c r="N332" s="44"/>
      <c r="O332" s="29"/>
      <c r="P332" s="26"/>
      <c r="Q332" s="26"/>
      <c r="R332" s="26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>
      <c r="A333" s="39"/>
      <c r="B333" s="46"/>
      <c r="C333" s="46"/>
      <c r="D333" s="39"/>
      <c r="E333" s="39"/>
      <c r="F333" s="42"/>
      <c r="G333" s="42"/>
      <c r="H333" s="42"/>
      <c r="I333" s="42"/>
      <c r="J333" s="39"/>
      <c r="K333" s="42"/>
      <c r="L333" s="47"/>
      <c r="M333" s="43"/>
      <c r="N333" s="44"/>
      <c r="O333" s="29"/>
      <c r="P333" s="26"/>
      <c r="Q333" s="26"/>
      <c r="R333" s="26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>
      <c r="A334" s="39"/>
      <c r="B334" s="46"/>
      <c r="C334" s="46"/>
      <c r="D334" s="39"/>
      <c r="E334" s="39"/>
      <c r="F334" s="42"/>
      <c r="G334" s="42"/>
      <c r="H334" s="42"/>
      <c r="I334" s="42"/>
      <c r="J334" s="39"/>
      <c r="K334" s="42"/>
      <c r="L334" s="47"/>
      <c r="M334" s="43"/>
      <c r="N334" s="44"/>
      <c r="O334" s="29"/>
      <c r="P334" s="26"/>
      <c r="Q334" s="26"/>
      <c r="R334" s="26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>
      <c r="A335" s="39"/>
      <c r="B335" s="46"/>
      <c r="C335" s="46"/>
      <c r="D335" s="39"/>
      <c r="E335" s="39"/>
      <c r="F335" s="42"/>
      <c r="G335" s="42"/>
      <c r="H335" s="42"/>
      <c r="I335" s="42"/>
      <c r="J335" s="39"/>
      <c r="K335" s="42"/>
      <c r="L335" s="47"/>
      <c r="M335" s="43"/>
      <c r="N335" s="44"/>
      <c r="O335" s="29"/>
      <c r="P335" s="26"/>
      <c r="Q335" s="26"/>
      <c r="R335" s="26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>
      <c r="A336" s="39"/>
      <c r="B336" s="46"/>
      <c r="C336" s="46"/>
      <c r="D336" s="39"/>
      <c r="E336" s="39"/>
      <c r="F336" s="42"/>
      <c r="G336" s="42"/>
      <c r="H336" s="42"/>
      <c r="I336" s="42"/>
      <c r="J336" s="39"/>
      <c r="K336" s="42"/>
      <c r="L336" s="47"/>
      <c r="M336" s="43"/>
      <c r="N336" s="44"/>
      <c r="O336" s="29"/>
      <c r="P336" s="26"/>
      <c r="Q336" s="26"/>
      <c r="R336" s="26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>
      <c r="A337" s="39"/>
      <c r="B337" s="46"/>
      <c r="C337" s="46"/>
      <c r="D337" s="39"/>
      <c r="E337" s="39"/>
      <c r="F337" s="42"/>
      <c r="G337" s="42"/>
      <c r="H337" s="42"/>
      <c r="I337" s="42"/>
      <c r="J337" s="39"/>
      <c r="K337" s="42"/>
      <c r="L337" s="47"/>
      <c r="M337" s="43"/>
      <c r="N337" s="44"/>
      <c r="O337" s="29"/>
      <c r="P337" s="26"/>
      <c r="Q337" s="26"/>
      <c r="R337" s="26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>
      <c r="A338" s="39"/>
      <c r="B338" s="46"/>
      <c r="C338" s="46"/>
      <c r="D338" s="39"/>
      <c r="E338" s="39"/>
      <c r="F338" s="42"/>
      <c r="G338" s="42"/>
      <c r="H338" s="42"/>
      <c r="I338" s="42"/>
      <c r="J338" s="39"/>
      <c r="K338" s="42"/>
      <c r="L338" s="47"/>
      <c r="M338" s="43"/>
      <c r="N338" s="44"/>
      <c r="O338" s="29"/>
      <c r="P338" s="26"/>
      <c r="Q338" s="26"/>
      <c r="R338" s="26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>
      <c r="A339" s="39"/>
      <c r="B339" s="46"/>
      <c r="C339" s="46"/>
      <c r="D339" s="39"/>
      <c r="E339" s="39"/>
      <c r="F339" s="42"/>
      <c r="G339" s="42"/>
      <c r="H339" s="42"/>
      <c r="I339" s="42"/>
      <c r="J339" s="39"/>
      <c r="K339" s="42"/>
      <c r="L339" s="47"/>
      <c r="M339" s="43"/>
      <c r="N339" s="44"/>
      <c r="O339" s="29"/>
      <c r="P339" s="26"/>
      <c r="Q339" s="26"/>
      <c r="R339" s="26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>
      <c r="A340" s="39"/>
      <c r="B340" s="46"/>
      <c r="C340" s="46"/>
      <c r="D340" s="39"/>
      <c r="E340" s="39"/>
      <c r="F340" s="42"/>
      <c r="G340" s="42"/>
      <c r="H340" s="42"/>
      <c r="I340" s="42"/>
      <c r="J340" s="39"/>
      <c r="K340" s="42"/>
      <c r="L340" s="47"/>
      <c r="M340" s="43"/>
      <c r="N340" s="44"/>
      <c r="O340" s="29"/>
      <c r="P340" s="26"/>
      <c r="Q340" s="26"/>
      <c r="R340" s="26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>
      <c r="A341" s="39"/>
      <c r="B341" s="46"/>
      <c r="C341" s="46"/>
      <c r="D341" s="39"/>
      <c r="E341" s="39"/>
      <c r="F341" s="42"/>
      <c r="G341" s="42"/>
      <c r="H341" s="42"/>
      <c r="I341" s="42"/>
      <c r="J341" s="39"/>
      <c r="K341" s="42"/>
      <c r="L341" s="47"/>
      <c r="M341" s="43"/>
      <c r="N341" s="44"/>
      <c r="O341" s="29"/>
      <c r="P341" s="26"/>
      <c r="Q341" s="26"/>
      <c r="R341" s="26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>
      <c r="A342" s="39"/>
      <c r="B342" s="46"/>
      <c r="C342" s="46"/>
      <c r="D342" s="39"/>
      <c r="E342" s="39"/>
      <c r="F342" s="42"/>
      <c r="G342" s="42"/>
      <c r="H342" s="42"/>
      <c r="I342" s="42"/>
      <c r="J342" s="39"/>
      <c r="K342" s="42"/>
      <c r="L342" s="47"/>
      <c r="M342" s="43"/>
      <c r="N342" s="44"/>
      <c r="O342" s="29"/>
      <c r="P342" s="26"/>
      <c r="Q342" s="26"/>
      <c r="R342" s="26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>
      <c r="A343" s="39"/>
      <c r="B343" s="46"/>
      <c r="C343" s="46"/>
      <c r="D343" s="39"/>
      <c r="E343" s="39"/>
      <c r="F343" s="42"/>
      <c r="G343" s="42"/>
      <c r="H343" s="42"/>
      <c r="I343" s="42"/>
      <c r="J343" s="39"/>
      <c r="K343" s="42"/>
      <c r="L343" s="47"/>
      <c r="M343" s="43"/>
      <c r="N343" s="44"/>
      <c r="O343" s="29"/>
      <c r="P343" s="26"/>
      <c r="Q343" s="26"/>
      <c r="R343" s="26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>
      <c r="A344" s="39"/>
      <c r="B344" s="46"/>
      <c r="C344" s="46"/>
      <c r="D344" s="39"/>
      <c r="E344" s="39"/>
      <c r="F344" s="42"/>
      <c r="G344" s="42"/>
      <c r="H344" s="42"/>
      <c r="I344" s="42"/>
      <c r="J344" s="39"/>
      <c r="K344" s="42"/>
      <c r="L344" s="47"/>
      <c r="M344" s="43"/>
      <c r="N344" s="44"/>
      <c r="O344" s="29"/>
      <c r="P344" s="26"/>
      <c r="Q344" s="26"/>
      <c r="R344" s="26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>
      <c r="A345" s="39"/>
      <c r="B345" s="46"/>
      <c r="C345" s="46"/>
      <c r="D345" s="39"/>
      <c r="E345" s="39"/>
      <c r="F345" s="42"/>
      <c r="G345" s="42"/>
      <c r="H345" s="42"/>
      <c r="I345" s="42"/>
      <c r="J345" s="39"/>
      <c r="K345" s="42"/>
      <c r="L345" s="47"/>
      <c r="M345" s="43"/>
      <c r="N345" s="44"/>
      <c r="O345" s="29"/>
      <c r="P345" s="26"/>
      <c r="Q345" s="26"/>
      <c r="R345" s="26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>
      <c r="A346" s="39"/>
      <c r="B346" s="46"/>
      <c r="C346" s="46"/>
      <c r="D346" s="39"/>
      <c r="E346" s="39"/>
      <c r="F346" s="42"/>
      <c r="G346" s="42"/>
      <c r="H346" s="42"/>
      <c r="I346" s="42"/>
      <c r="J346" s="39"/>
      <c r="K346" s="42"/>
      <c r="L346" s="47"/>
      <c r="M346" s="43"/>
      <c r="N346" s="44"/>
      <c r="O346" s="29"/>
      <c r="P346" s="26"/>
      <c r="Q346" s="26"/>
      <c r="R346" s="26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>
      <c r="A347" s="39"/>
      <c r="B347" s="46"/>
      <c r="C347" s="46"/>
      <c r="D347" s="39"/>
      <c r="E347" s="39"/>
      <c r="F347" s="42"/>
      <c r="G347" s="42"/>
      <c r="H347" s="42"/>
      <c r="I347" s="42"/>
      <c r="J347" s="39"/>
      <c r="K347" s="42"/>
      <c r="L347" s="47"/>
      <c r="M347" s="43"/>
      <c r="N347" s="44"/>
      <c r="O347" s="29"/>
      <c r="P347" s="26"/>
      <c r="Q347" s="26"/>
      <c r="R347" s="26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>
      <c r="A348" s="39"/>
      <c r="B348" s="46"/>
      <c r="C348" s="46"/>
      <c r="D348" s="39"/>
      <c r="E348" s="39"/>
      <c r="F348" s="42"/>
      <c r="G348" s="42"/>
      <c r="H348" s="42"/>
      <c r="I348" s="42"/>
      <c r="J348" s="39"/>
      <c r="K348" s="42"/>
      <c r="L348" s="47"/>
      <c r="M348" s="43"/>
      <c r="N348" s="44"/>
      <c r="O348" s="29"/>
      <c r="P348" s="26"/>
      <c r="Q348" s="26"/>
      <c r="R348" s="26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>
      <c r="A349" s="39"/>
      <c r="B349" s="46"/>
      <c r="C349" s="46"/>
      <c r="D349" s="39"/>
      <c r="E349" s="39"/>
      <c r="F349" s="42"/>
      <c r="G349" s="42"/>
      <c r="H349" s="42"/>
      <c r="I349" s="42"/>
      <c r="J349" s="39"/>
      <c r="K349" s="42"/>
      <c r="L349" s="47"/>
      <c r="M349" s="43"/>
      <c r="N349" s="44"/>
      <c r="O349" s="29"/>
      <c r="P349" s="26"/>
      <c r="Q349" s="26"/>
      <c r="R349" s="26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>
      <c r="A350" s="39"/>
      <c r="B350" s="46"/>
      <c r="C350" s="46"/>
      <c r="D350" s="39"/>
      <c r="E350" s="39"/>
      <c r="F350" s="42"/>
      <c r="G350" s="42"/>
      <c r="H350" s="42"/>
      <c r="I350" s="42"/>
      <c r="J350" s="39"/>
      <c r="K350" s="42"/>
      <c r="L350" s="47"/>
      <c r="M350" s="43"/>
      <c r="N350" s="44"/>
      <c r="O350" s="29"/>
      <c r="P350" s="26"/>
      <c r="Q350" s="26"/>
      <c r="R350" s="26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>
      <c r="A351" s="39"/>
      <c r="B351" s="46"/>
      <c r="C351" s="46"/>
      <c r="D351" s="39"/>
      <c r="E351" s="39"/>
      <c r="F351" s="42"/>
      <c r="G351" s="42"/>
      <c r="H351" s="42"/>
      <c r="I351" s="42"/>
      <c r="J351" s="39"/>
      <c r="K351" s="42"/>
      <c r="L351" s="47"/>
      <c r="M351" s="43"/>
      <c r="N351" s="44"/>
      <c r="O351" s="29"/>
      <c r="P351" s="26"/>
      <c r="Q351" s="26"/>
      <c r="R351" s="26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>
      <c r="A352" s="39"/>
      <c r="B352" s="46"/>
      <c r="C352" s="46"/>
      <c r="D352" s="39"/>
      <c r="E352" s="39"/>
      <c r="F352" s="42"/>
      <c r="G352" s="42"/>
      <c r="H352" s="42"/>
      <c r="I352" s="42"/>
      <c r="J352" s="39"/>
      <c r="K352" s="42"/>
      <c r="L352" s="47"/>
      <c r="M352" s="43"/>
      <c r="N352" s="44"/>
      <c r="O352" s="29"/>
      <c r="P352" s="26"/>
      <c r="Q352" s="26"/>
      <c r="R352" s="26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>
      <c r="A353" s="39"/>
      <c r="B353" s="46"/>
      <c r="C353" s="46"/>
      <c r="D353" s="39"/>
      <c r="E353" s="39"/>
      <c r="F353" s="42"/>
      <c r="G353" s="42"/>
      <c r="H353" s="42"/>
      <c r="I353" s="42"/>
      <c r="J353" s="39"/>
      <c r="K353" s="42"/>
      <c r="L353" s="47"/>
      <c r="M353" s="43"/>
      <c r="N353" s="44"/>
      <c r="O353" s="29"/>
      <c r="P353" s="26"/>
      <c r="Q353" s="26"/>
      <c r="R353" s="26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>
      <c r="A354" s="39"/>
      <c r="B354" s="46"/>
      <c r="C354" s="46"/>
      <c r="D354" s="39"/>
      <c r="E354" s="39"/>
      <c r="F354" s="42"/>
      <c r="G354" s="42"/>
      <c r="H354" s="42"/>
      <c r="I354" s="42"/>
      <c r="J354" s="39"/>
      <c r="K354" s="42"/>
      <c r="L354" s="47"/>
      <c r="M354" s="43"/>
      <c r="N354" s="44"/>
      <c r="O354" s="29"/>
      <c r="P354" s="26"/>
      <c r="Q354" s="26"/>
      <c r="R354" s="26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>
      <c r="A355" s="39"/>
      <c r="B355" s="46"/>
      <c r="C355" s="46"/>
      <c r="D355" s="39"/>
      <c r="E355" s="39"/>
      <c r="F355" s="42"/>
      <c r="G355" s="42"/>
      <c r="H355" s="42"/>
      <c r="I355" s="42"/>
      <c r="J355" s="39"/>
      <c r="K355" s="42"/>
      <c r="L355" s="47"/>
      <c r="M355" s="43"/>
      <c r="N355" s="44"/>
      <c r="O355" s="29"/>
      <c r="P355" s="26"/>
      <c r="Q355" s="26"/>
      <c r="R355" s="26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>
      <c r="A356" s="39"/>
      <c r="B356" s="46"/>
      <c r="C356" s="46"/>
      <c r="D356" s="39"/>
      <c r="E356" s="39"/>
      <c r="F356" s="42"/>
      <c r="G356" s="42"/>
      <c r="H356" s="42"/>
      <c r="I356" s="42"/>
      <c r="J356" s="39"/>
      <c r="K356" s="42"/>
      <c r="L356" s="47"/>
      <c r="M356" s="43"/>
      <c r="N356" s="44"/>
      <c r="O356" s="29"/>
      <c r="P356" s="26"/>
      <c r="Q356" s="26"/>
      <c r="R356" s="26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>
      <c r="A357" s="39"/>
      <c r="B357" s="46"/>
      <c r="C357" s="46"/>
      <c r="D357" s="39"/>
      <c r="E357" s="39"/>
      <c r="F357" s="42"/>
      <c r="G357" s="42"/>
      <c r="H357" s="42"/>
      <c r="I357" s="42"/>
      <c r="J357" s="39"/>
      <c r="K357" s="42"/>
      <c r="L357" s="47"/>
      <c r="M357" s="43"/>
      <c r="N357" s="44"/>
      <c r="O357" s="29"/>
      <c r="P357" s="26"/>
      <c r="Q357" s="26"/>
      <c r="R357" s="26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>
      <c r="A358" s="39"/>
      <c r="B358" s="46"/>
      <c r="C358" s="46"/>
      <c r="D358" s="39"/>
      <c r="E358" s="39"/>
      <c r="F358" s="42"/>
      <c r="G358" s="42"/>
      <c r="H358" s="42"/>
      <c r="I358" s="42"/>
      <c r="J358" s="39"/>
      <c r="K358" s="42"/>
      <c r="L358" s="47"/>
      <c r="M358" s="43"/>
      <c r="N358" s="44"/>
      <c r="O358" s="29"/>
      <c r="P358" s="26"/>
      <c r="Q358" s="26"/>
      <c r="R358" s="26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>
      <c r="A359" s="39"/>
      <c r="B359" s="46"/>
      <c r="C359" s="46"/>
      <c r="D359" s="39"/>
      <c r="E359" s="39"/>
      <c r="F359" s="42"/>
      <c r="G359" s="42"/>
      <c r="H359" s="42"/>
      <c r="I359" s="42"/>
      <c r="J359" s="39"/>
      <c r="K359" s="42"/>
      <c r="L359" s="47"/>
      <c r="M359" s="43"/>
      <c r="N359" s="44"/>
      <c r="O359" s="29"/>
      <c r="P359" s="26"/>
      <c r="Q359" s="26"/>
      <c r="R359" s="26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>
      <c r="A360" s="39"/>
      <c r="B360" s="46"/>
      <c r="C360" s="46"/>
      <c r="D360" s="39"/>
      <c r="E360" s="39"/>
      <c r="F360" s="42"/>
      <c r="G360" s="42"/>
      <c r="H360" s="42"/>
      <c r="I360" s="42"/>
      <c r="J360" s="39"/>
      <c r="K360" s="42"/>
      <c r="L360" s="47"/>
      <c r="M360" s="43"/>
      <c r="N360" s="44"/>
      <c r="O360" s="29"/>
      <c r="P360" s="26"/>
      <c r="Q360" s="26"/>
      <c r="R360" s="26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>
      <c r="A361" s="39"/>
      <c r="B361" s="46"/>
      <c r="C361" s="46"/>
      <c r="D361" s="39"/>
      <c r="E361" s="39"/>
      <c r="F361" s="42"/>
      <c r="G361" s="42"/>
      <c r="H361" s="42"/>
      <c r="I361" s="42"/>
      <c r="J361" s="39"/>
      <c r="K361" s="42"/>
      <c r="L361" s="47"/>
      <c r="M361" s="43"/>
      <c r="N361" s="44"/>
      <c r="O361" s="29"/>
      <c r="P361" s="26"/>
      <c r="Q361" s="26"/>
      <c r="R361" s="26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>
      <c r="A362" s="39"/>
      <c r="B362" s="46"/>
      <c r="C362" s="46"/>
      <c r="D362" s="39"/>
      <c r="E362" s="39"/>
      <c r="F362" s="42"/>
      <c r="G362" s="42"/>
      <c r="H362" s="42"/>
      <c r="I362" s="42"/>
      <c r="J362" s="39"/>
      <c r="K362" s="42"/>
      <c r="L362" s="47"/>
      <c r="M362" s="43"/>
      <c r="N362" s="44"/>
      <c r="O362" s="29"/>
      <c r="P362" s="26"/>
      <c r="Q362" s="26"/>
      <c r="R362" s="26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>
      <c r="A363" s="39"/>
      <c r="B363" s="46"/>
      <c r="C363" s="46"/>
      <c r="D363" s="39"/>
      <c r="E363" s="39"/>
      <c r="F363" s="42"/>
      <c r="G363" s="42"/>
      <c r="H363" s="42"/>
      <c r="I363" s="42"/>
      <c r="J363" s="39"/>
      <c r="K363" s="42"/>
      <c r="L363" s="47"/>
      <c r="M363" s="43"/>
      <c r="N363" s="44"/>
      <c r="O363" s="29"/>
      <c r="P363" s="26"/>
      <c r="Q363" s="26"/>
      <c r="R363" s="26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>
      <c r="A364" s="39"/>
      <c r="B364" s="46"/>
      <c r="C364" s="46"/>
      <c r="D364" s="39"/>
      <c r="E364" s="39"/>
      <c r="F364" s="42"/>
      <c r="G364" s="42"/>
      <c r="H364" s="42"/>
      <c r="I364" s="42"/>
      <c r="J364" s="39"/>
      <c r="K364" s="42"/>
      <c r="L364" s="47"/>
      <c r="M364" s="43"/>
      <c r="N364" s="44"/>
      <c r="O364" s="29"/>
      <c r="P364" s="26"/>
      <c r="Q364" s="26"/>
      <c r="R364" s="26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>
      <c r="A365" s="39"/>
      <c r="B365" s="46"/>
      <c r="C365" s="46"/>
      <c r="D365" s="39"/>
      <c r="E365" s="39"/>
      <c r="F365" s="42"/>
      <c r="G365" s="42"/>
      <c r="H365" s="42"/>
      <c r="I365" s="42"/>
      <c r="J365" s="39"/>
      <c r="K365" s="42"/>
      <c r="L365" s="47"/>
      <c r="M365" s="43"/>
      <c r="N365" s="44"/>
      <c r="O365" s="29"/>
      <c r="P365" s="26"/>
      <c r="Q365" s="26"/>
      <c r="R365" s="26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>
      <c r="A366" s="39"/>
      <c r="B366" s="46"/>
      <c r="C366" s="46"/>
      <c r="D366" s="39"/>
      <c r="E366" s="39"/>
      <c r="F366" s="42"/>
      <c r="G366" s="42"/>
      <c r="H366" s="42"/>
      <c r="I366" s="42"/>
      <c r="J366" s="39"/>
      <c r="K366" s="42"/>
      <c r="L366" s="47"/>
      <c r="M366" s="43"/>
      <c r="N366" s="44"/>
      <c r="O366" s="29"/>
      <c r="P366" s="26"/>
      <c r="Q366" s="26"/>
      <c r="R366" s="26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>
      <c r="A367" s="39"/>
      <c r="B367" s="46"/>
      <c r="C367" s="46"/>
      <c r="D367" s="39"/>
      <c r="E367" s="39"/>
      <c r="F367" s="42"/>
      <c r="G367" s="42"/>
      <c r="H367" s="42"/>
      <c r="I367" s="42"/>
      <c r="J367" s="39"/>
      <c r="K367" s="42"/>
      <c r="L367" s="47"/>
      <c r="M367" s="43"/>
      <c r="N367" s="44"/>
      <c r="O367" s="29"/>
      <c r="P367" s="26"/>
      <c r="Q367" s="26"/>
      <c r="R367" s="26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>
      <c r="A368" s="39"/>
      <c r="B368" s="46"/>
      <c r="C368" s="46"/>
      <c r="D368" s="39"/>
      <c r="E368" s="39"/>
      <c r="F368" s="42"/>
      <c r="G368" s="42"/>
      <c r="H368" s="42"/>
      <c r="I368" s="42"/>
      <c r="J368" s="39"/>
      <c r="K368" s="42"/>
      <c r="L368" s="47"/>
      <c r="M368" s="43"/>
      <c r="N368" s="44"/>
      <c r="O368" s="29"/>
      <c r="P368" s="26"/>
      <c r="Q368" s="26"/>
      <c r="R368" s="26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>
      <c r="A369" s="39"/>
      <c r="B369" s="46"/>
      <c r="C369" s="46"/>
      <c r="D369" s="39"/>
      <c r="E369" s="39"/>
      <c r="F369" s="42"/>
      <c r="G369" s="42"/>
      <c r="H369" s="42"/>
      <c r="I369" s="42"/>
      <c r="J369" s="39"/>
      <c r="K369" s="42"/>
      <c r="L369" s="47"/>
      <c r="M369" s="43"/>
      <c r="N369" s="44"/>
      <c r="O369" s="29"/>
      <c r="P369" s="26"/>
      <c r="Q369" s="26"/>
      <c r="R369" s="26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>
      <c r="A370" s="39"/>
      <c r="B370" s="46"/>
      <c r="C370" s="46"/>
      <c r="D370" s="39"/>
      <c r="E370" s="39"/>
      <c r="F370" s="42"/>
      <c r="G370" s="42"/>
      <c r="H370" s="42"/>
      <c r="I370" s="42"/>
      <c r="J370" s="39"/>
      <c r="K370" s="42"/>
      <c r="L370" s="47"/>
      <c r="M370" s="43"/>
      <c r="N370" s="44"/>
      <c r="O370" s="29"/>
      <c r="P370" s="26"/>
      <c r="Q370" s="26"/>
      <c r="R370" s="26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>
      <c r="A371" s="39"/>
      <c r="B371" s="46"/>
      <c r="C371" s="46"/>
      <c r="D371" s="39"/>
      <c r="E371" s="39"/>
      <c r="F371" s="42"/>
      <c r="G371" s="42"/>
      <c r="H371" s="42"/>
      <c r="I371" s="42"/>
      <c r="J371" s="39"/>
      <c r="K371" s="42"/>
      <c r="L371" s="47"/>
      <c r="M371" s="43"/>
      <c r="N371" s="44"/>
      <c r="O371" s="29"/>
      <c r="P371" s="26"/>
      <c r="Q371" s="26"/>
      <c r="R371" s="26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>
      <c r="A372" s="39"/>
      <c r="B372" s="46"/>
      <c r="C372" s="46"/>
      <c r="D372" s="39"/>
      <c r="E372" s="39"/>
      <c r="F372" s="42"/>
      <c r="G372" s="42"/>
      <c r="H372" s="42"/>
      <c r="I372" s="42"/>
      <c r="J372" s="39"/>
      <c r="K372" s="42"/>
      <c r="L372" s="47"/>
      <c r="M372" s="43"/>
      <c r="N372" s="44"/>
      <c r="O372" s="29"/>
      <c r="P372" s="26"/>
      <c r="Q372" s="26"/>
      <c r="R372" s="26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>
      <c r="A373" s="39"/>
      <c r="B373" s="46"/>
      <c r="C373" s="46"/>
      <c r="D373" s="39"/>
      <c r="E373" s="39"/>
      <c r="F373" s="42"/>
      <c r="G373" s="42"/>
      <c r="H373" s="42"/>
      <c r="I373" s="42"/>
      <c r="J373" s="39"/>
      <c r="K373" s="42"/>
      <c r="L373" s="47"/>
      <c r="M373" s="43"/>
      <c r="N373" s="44"/>
      <c r="O373" s="29"/>
      <c r="P373" s="26"/>
      <c r="Q373" s="26"/>
      <c r="R373" s="26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>
      <c r="A374" s="39"/>
      <c r="B374" s="46"/>
      <c r="C374" s="46"/>
      <c r="D374" s="39"/>
      <c r="E374" s="39"/>
      <c r="F374" s="42"/>
      <c r="G374" s="42"/>
      <c r="H374" s="42"/>
      <c r="I374" s="42"/>
      <c r="J374" s="39"/>
      <c r="K374" s="42"/>
      <c r="L374" s="47"/>
      <c r="M374" s="43"/>
      <c r="N374" s="44"/>
      <c r="O374" s="29"/>
      <c r="P374" s="26"/>
      <c r="Q374" s="26"/>
      <c r="R374" s="26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>
      <c r="A375" s="39"/>
      <c r="B375" s="46"/>
      <c r="C375" s="46"/>
      <c r="D375" s="39"/>
      <c r="E375" s="39"/>
      <c r="F375" s="42"/>
      <c r="G375" s="42"/>
      <c r="H375" s="42"/>
      <c r="I375" s="42"/>
      <c r="J375" s="39"/>
      <c r="K375" s="42"/>
      <c r="L375" s="47"/>
      <c r="M375" s="43"/>
      <c r="N375" s="44"/>
      <c r="O375" s="29"/>
      <c r="P375" s="26"/>
      <c r="Q375" s="26"/>
      <c r="R375" s="26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>
      <c r="A376" s="39"/>
      <c r="B376" s="46"/>
      <c r="C376" s="46"/>
      <c r="D376" s="39"/>
      <c r="E376" s="39"/>
      <c r="F376" s="42"/>
      <c r="G376" s="42"/>
      <c r="H376" s="42"/>
      <c r="I376" s="42"/>
      <c r="J376" s="39"/>
      <c r="K376" s="42"/>
      <c r="L376" s="47"/>
      <c r="M376" s="43"/>
      <c r="N376" s="44"/>
      <c r="O376" s="29"/>
      <c r="P376" s="26"/>
      <c r="Q376" s="26"/>
      <c r="R376" s="26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>
      <c r="A377" s="39"/>
      <c r="B377" s="46"/>
      <c r="C377" s="46"/>
      <c r="D377" s="39"/>
      <c r="E377" s="39"/>
      <c r="F377" s="42"/>
      <c r="G377" s="42"/>
      <c r="H377" s="42"/>
      <c r="I377" s="42"/>
      <c r="J377" s="39"/>
      <c r="K377" s="42"/>
      <c r="L377" s="47"/>
      <c r="M377" s="43"/>
      <c r="N377" s="44"/>
      <c r="O377" s="29"/>
      <c r="P377" s="26"/>
      <c r="Q377" s="26"/>
      <c r="R377" s="26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>
      <c r="A378" s="39"/>
      <c r="B378" s="46"/>
      <c r="C378" s="46"/>
      <c r="D378" s="39"/>
      <c r="E378" s="39"/>
      <c r="F378" s="42"/>
      <c r="G378" s="42"/>
      <c r="H378" s="42"/>
      <c r="I378" s="42"/>
      <c r="J378" s="39"/>
      <c r="K378" s="42"/>
      <c r="L378" s="47"/>
      <c r="M378" s="43"/>
      <c r="N378" s="44"/>
      <c r="O378" s="29"/>
      <c r="P378" s="26"/>
      <c r="Q378" s="26"/>
      <c r="R378" s="26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>
      <c r="A379" s="39"/>
      <c r="B379" s="46"/>
      <c r="C379" s="46"/>
      <c r="D379" s="39"/>
      <c r="E379" s="39"/>
      <c r="F379" s="42"/>
      <c r="G379" s="42"/>
      <c r="H379" s="42"/>
      <c r="I379" s="42"/>
      <c r="J379" s="39"/>
      <c r="K379" s="42"/>
      <c r="L379" s="47"/>
      <c r="M379" s="43"/>
      <c r="N379" s="44"/>
      <c r="O379" s="29"/>
      <c r="P379" s="26"/>
      <c r="Q379" s="26"/>
      <c r="R379" s="26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>
      <c r="A380" s="39"/>
      <c r="B380" s="46"/>
      <c r="C380" s="46"/>
      <c r="D380" s="39"/>
      <c r="E380" s="39"/>
      <c r="F380" s="42"/>
      <c r="G380" s="42"/>
      <c r="H380" s="42"/>
      <c r="I380" s="42"/>
      <c r="J380" s="39"/>
      <c r="K380" s="42"/>
      <c r="L380" s="47"/>
      <c r="M380" s="43"/>
      <c r="N380" s="44"/>
      <c r="O380" s="29"/>
      <c r="P380" s="26"/>
      <c r="Q380" s="26"/>
      <c r="R380" s="26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>
      <c r="A381" s="39"/>
      <c r="B381" s="46"/>
      <c r="C381" s="46"/>
      <c r="D381" s="39"/>
      <c r="E381" s="39"/>
      <c r="F381" s="42"/>
      <c r="G381" s="42"/>
      <c r="H381" s="42"/>
      <c r="I381" s="42"/>
      <c r="J381" s="39"/>
      <c r="K381" s="42"/>
      <c r="L381" s="47"/>
      <c r="M381" s="43"/>
      <c r="N381" s="44"/>
      <c r="O381" s="29"/>
      <c r="P381" s="26"/>
      <c r="Q381" s="26"/>
      <c r="R381" s="26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>
      <c r="A382" s="39"/>
      <c r="B382" s="46"/>
      <c r="C382" s="46"/>
      <c r="D382" s="39"/>
      <c r="E382" s="39"/>
      <c r="F382" s="42"/>
      <c r="G382" s="42"/>
      <c r="H382" s="42"/>
      <c r="I382" s="42"/>
      <c r="J382" s="39"/>
      <c r="K382" s="42"/>
      <c r="L382" s="47"/>
      <c r="M382" s="43"/>
      <c r="N382" s="44"/>
      <c r="O382" s="29"/>
      <c r="P382" s="26"/>
      <c r="Q382" s="26"/>
      <c r="R382" s="26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>
      <c r="A383" s="39"/>
      <c r="B383" s="46"/>
      <c r="C383" s="46"/>
      <c r="D383" s="39"/>
      <c r="E383" s="39"/>
      <c r="F383" s="42"/>
      <c r="G383" s="42"/>
      <c r="H383" s="42"/>
      <c r="I383" s="42"/>
      <c r="J383" s="39"/>
      <c r="K383" s="42"/>
      <c r="L383" s="47"/>
      <c r="M383" s="43"/>
      <c r="N383" s="44"/>
      <c r="O383" s="29"/>
      <c r="P383" s="26"/>
      <c r="Q383" s="26"/>
      <c r="R383" s="26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>
      <c r="A384" s="39"/>
      <c r="B384" s="46"/>
      <c r="C384" s="46"/>
      <c r="D384" s="39"/>
      <c r="E384" s="39"/>
      <c r="F384" s="42"/>
      <c r="G384" s="42"/>
      <c r="H384" s="42"/>
      <c r="I384" s="42"/>
      <c r="J384" s="39"/>
      <c r="K384" s="42"/>
      <c r="L384" s="47"/>
      <c r="M384" s="43"/>
      <c r="N384" s="44"/>
      <c r="O384" s="29"/>
      <c r="P384" s="26"/>
      <c r="Q384" s="26"/>
      <c r="R384" s="26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>
      <c r="A385" s="39"/>
      <c r="B385" s="46"/>
      <c r="C385" s="46"/>
      <c r="D385" s="39"/>
      <c r="E385" s="39"/>
      <c r="F385" s="42"/>
      <c r="G385" s="42"/>
      <c r="H385" s="42"/>
      <c r="I385" s="42"/>
      <c r="J385" s="39"/>
      <c r="K385" s="42"/>
      <c r="L385" s="47"/>
      <c r="M385" s="43"/>
      <c r="N385" s="44"/>
      <c r="O385" s="29"/>
      <c r="P385" s="26"/>
      <c r="Q385" s="26"/>
      <c r="R385" s="26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>
      <c r="A386" s="39"/>
      <c r="B386" s="46"/>
      <c r="C386" s="46"/>
      <c r="D386" s="39"/>
      <c r="E386" s="39"/>
      <c r="F386" s="42"/>
      <c r="G386" s="42"/>
      <c r="H386" s="42"/>
      <c r="I386" s="42"/>
      <c r="J386" s="39"/>
      <c r="K386" s="42"/>
      <c r="L386" s="47"/>
      <c r="M386" s="43"/>
      <c r="N386" s="44"/>
      <c r="O386" s="29"/>
      <c r="P386" s="26"/>
      <c r="Q386" s="26"/>
      <c r="R386" s="26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>
      <c r="A387" s="39"/>
      <c r="B387" s="46"/>
      <c r="C387" s="46"/>
      <c r="D387" s="39"/>
      <c r="E387" s="39"/>
      <c r="F387" s="42"/>
      <c r="G387" s="42"/>
      <c r="H387" s="42"/>
      <c r="I387" s="42"/>
      <c r="J387" s="39"/>
      <c r="K387" s="42"/>
      <c r="L387" s="47"/>
      <c r="M387" s="43"/>
      <c r="N387" s="44"/>
      <c r="O387" s="29"/>
      <c r="P387" s="26"/>
      <c r="Q387" s="26"/>
      <c r="R387" s="26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>
      <c r="A388" s="39"/>
      <c r="B388" s="46"/>
      <c r="C388" s="46"/>
      <c r="D388" s="39"/>
      <c r="E388" s="39"/>
      <c r="F388" s="42"/>
      <c r="G388" s="42"/>
      <c r="H388" s="42"/>
      <c r="I388" s="42"/>
      <c r="J388" s="39"/>
      <c r="K388" s="42"/>
      <c r="L388" s="47"/>
      <c r="M388" s="43"/>
      <c r="N388" s="44"/>
      <c r="O388" s="29"/>
      <c r="P388" s="26"/>
      <c r="Q388" s="26"/>
      <c r="R388" s="26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>
      <c r="A389" s="39"/>
      <c r="B389" s="46"/>
      <c r="C389" s="46"/>
      <c r="D389" s="39"/>
      <c r="E389" s="39"/>
      <c r="F389" s="42"/>
      <c r="G389" s="42"/>
      <c r="H389" s="42"/>
      <c r="I389" s="42"/>
      <c r="J389" s="39"/>
      <c r="K389" s="42"/>
      <c r="L389" s="47"/>
      <c r="M389" s="43"/>
      <c r="N389" s="44"/>
      <c r="O389" s="29"/>
      <c r="P389" s="26"/>
      <c r="Q389" s="26"/>
      <c r="R389" s="26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>
      <c r="A390" s="39"/>
      <c r="B390" s="46"/>
      <c r="C390" s="46"/>
      <c r="D390" s="39"/>
      <c r="E390" s="39"/>
      <c r="F390" s="42"/>
      <c r="G390" s="42"/>
      <c r="H390" s="42"/>
      <c r="I390" s="42"/>
      <c r="J390" s="39"/>
      <c r="K390" s="42"/>
      <c r="L390" s="47"/>
      <c r="M390" s="43"/>
      <c r="N390" s="44"/>
      <c r="O390" s="29"/>
      <c r="P390" s="26"/>
      <c r="Q390" s="26"/>
      <c r="R390" s="26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>
      <c r="A391" s="39"/>
      <c r="B391" s="46"/>
      <c r="C391" s="46"/>
      <c r="D391" s="39"/>
      <c r="E391" s="39"/>
      <c r="F391" s="42"/>
      <c r="G391" s="42"/>
      <c r="H391" s="42"/>
      <c r="I391" s="42"/>
      <c r="J391" s="39"/>
      <c r="K391" s="42"/>
      <c r="L391" s="47"/>
      <c r="M391" s="43"/>
      <c r="N391" s="44"/>
      <c r="O391" s="29"/>
      <c r="P391" s="26"/>
      <c r="Q391" s="26"/>
      <c r="R391" s="26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>
      <c r="A392" s="39"/>
      <c r="B392" s="46"/>
      <c r="C392" s="46"/>
      <c r="D392" s="39"/>
      <c r="E392" s="39"/>
      <c r="F392" s="42"/>
      <c r="G392" s="42"/>
      <c r="H392" s="42"/>
      <c r="I392" s="42"/>
      <c r="J392" s="39"/>
      <c r="K392" s="42"/>
      <c r="L392" s="47"/>
      <c r="M392" s="43"/>
      <c r="N392" s="44"/>
      <c r="O392" s="29"/>
      <c r="P392" s="26"/>
      <c r="Q392" s="26"/>
      <c r="R392" s="26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>
      <c r="A393" s="39"/>
      <c r="B393" s="46"/>
      <c r="C393" s="46"/>
      <c r="D393" s="39"/>
      <c r="E393" s="39"/>
      <c r="F393" s="42"/>
      <c r="G393" s="42"/>
      <c r="H393" s="42"/>
      <c r="I393" s="42"/>
      <c r="J393" s="39"/>
      <c r="K393" s="42"/>
      <c r="L393" s="47"/>
      <c r="M393" s="43"/>
      <c r="N393" s="44"/>
      <c r="O393" s="29"/>
      <c r="P393" s="26"/>
      <c r="Q393" s="26"/>
      <c r="R393" s="26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>
      <c r="A394" s="39"/>
      <c r="B394" s="46"/>
      <c r="C394" s="46"/>
      <c r="D394" s="39"/>
      <c r="E394" s="39"/>
      <c r="F394" s="42"/>
      <c r="G394" s="42"/>
      <c r="H394" s="42"/>
      <c r="I394" s="42"/>
      <c r="J394" s="39"/>
      <c r="K394" s="42"/>
      <c r="L394" s="47"/>
      <c r="M394" s="43"/>
      <c r="N394" s="44"/>
      <c r="O394" s="29"/>
      <c r="P394" s="26"/>
      <c r="Q394" s="26"/>
      <c r="R394" s="26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>
      <c r="A395" s="39"/>
      <c r="B395" s="46"/>
      <c r="C395" s="46"/>
      <c r="D395" s="39"/>
      <c r="E395" s="39"/>
      <c r="F395" s="42"/>
      <c r="G395" s="42"/>
      <c r="H395" s="42"/>
      <c r="I395" s="42"/>
      <c r="J395" s="39"/>
      <c r="K395" s="42"/>
      <c r="L395" s="47"/>
      <c r="M395" s="43"/>
      <c r="N395" s="44"/>
      <c r="O395" s="29"/>
      <c r="P395" s="26"/>
      <c r="Q395" s="26"/>
      <c r="R395" s="26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>
      <c r="A396" s="39"/>
      <c r="B396" s="46"/>
      <c r="C396" s="46"/>
      <c r="D396" s="39"/>
      <c r="E396" s="39"/>
      <c r="F396" s="42"/>
      <c r="G396" s="42"/>
      <c r="H396" s="42"/>
      <c r="I396" s="42"/>
      <c r="J396" s="39"/>
      <c r="K396" s="42"/>
      <c r="L396" s="47"/>
      <c r="M396" s="43"/>
      <c r="N396" s="44"/>
      <c r="O396" s="29"/>
      <c r="P396" s="26"/>
      <c r="Q396" s="26"/>
      <c r="R396" s="26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>
      <c r="A397" s="39"/>
      <c r="B397" s="46"/>
      <c r="C397" s="46"/>
      <c r="D397" s="39"/>
      <c r="E397" s="39"/>
      <c r="F397" s="42"/>
      <c r="G397" s="42"/>
      <c r="H397" s="42"/>
      <c r="I397" s="42"/>
      <c r="J397" s="39"/>
      <c r="K397" s="42"/>
      <c r="L397" s="47"/>
      <c r="M397" s="43"/>
      <c r="N397" s="44"/>
      <c r="O397" s="29"/>
      <c r="P397" s="26"/>
      <c r="Q397" s="26"/>
      <c r="R397" s="26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>
      <c r="A398" s="39"/>
      <c r="B398" s="46"/>
      <c r="C398" s="46"/>
      <c r="D398" s="39"/>
      <c r="E398" s="39"/>
      <c r="F398" s="42"/>
      <c r="G398" s="42"/>
      <c r="H398" s="42"/>
      <c r="I398" s="42"/>
      <c r="J398" s="39"/>
      <c r="K398" s="42"/>
      <c r="L398" s="47"/>
      <c r="M398" s="43"/>
      <c r="N398" s="44"/>
      <c r="O398" s="29"/>
      <c r="P398" s="26"/>
      <c r="Q398" s="26"/>
      <c r="R398" s="26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>
      <c r="A399" s="39"/>
      <c r="B399" s="46"/>
      <c r="C399" s="46"/>
      <c r="D399" s="39"/>
      <c r="E399" s="39"/>
      <c r="F399" s="42"/>
      <c r="G399" s="42"/>
      <c r="H399" s="42"/>
      <c r="I399" s="42"/>
      <c r="J399" s="39"/>
      <c r="K399" s="42"/>
      <c r="L399" s="47"/>
      <c r="M399" s="43"/>
      <c r="N399" s="44"/>
      <c r="O399" s="29"/>
      <c r="P399" s="26"/>
      <c r="Q399" s="26"/>
      <c r="R399" s="26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>
      <c r="A400" s="39"/>
      <c r="B400" s="46"/>
      <c r="C400" s="46"/>
      <c r="D400" s="39"/>
      <c r="E400" s="39"/>
      <c r="F400" s="42"/>
      <c r="G400" s="42"/>
      <c r="H400" s="42"/>
      <c r="I400" s="42"/>
      <c r="J400" s="39"/>
      <c r="K400" s="42"/>
      <c r="L400" s="47"/>
      <c r="M400" s="43"/>
      <c r="N400" s="44"/>
      <c r="O400" s="29"/>
      <c r="P400" s="26"/>
      <c r="Q400" s="26"/>
      <c r="R400" s="26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>
      <c r="A401" s="39"/>
      <c r="B401" s="46"/>
      <c r="C401" s="46"/>
      <c r="D401" s="39"/>
      <c r="E401" s="39"/>
      <c r="F401" s="42"/>
      <c r="G401" s="42"/>
      <c r="H401" s="42"/>
      <c r="I401" s="42"/>
      <c r="J401" s="39"/>
      <c r="K401" s="42"/>
      <c r="L401" s="47"/>
      <c r="M401" s="43"/>
      <c r="N401" s="44"/>
      <c r="O401" s="29"/>
      <c r="P401" s="26"/>
      <c r="Q401" s="26"/>
      <c r="R401" s="26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>
      <c r="A402" s="39"/>
      <c r="B402" s="46"/>
      <c r="C402" s="46"/>
      <c r="D402" s="39"/>
      <c r="E402" s="39"/>
      <c r="F402" s="42"/>
      <c r="G402" s="42"/>
      <c r="H402" s="42"/>
      <c r="I402" s="42"/>
      <c r="J402" s="39"/>
      <c r="K402" s="42"/>
      <c r="L402" s="47"/>
      <c r="M402" s="43"/>
      <c r="N402" s="44"/>
      <c r="O402" s="29"/>
      <c r="P402" s="26"/>
      <c r="Q402" s="26"/>
      <c r="R402" s="26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>
      <c r="A403" s="39"/>
      <c r="B403" s="46"/>
      <c r="C403" s="46"/>
      <c r="D403" s="39"/>
      <c r="E403" s="39"/>
      <c r="F403" s="42"/>
      <c r="G403" s="42"/>
      <c r="H403" s="42"/>
      <c r="I403" s="42"/>
      <c r="J403" s="39"/>
      <c r="K403" s="42"/>
      <c r="L403" s="47"/>
      <c r="M403" s="43"/>
      <c r="N403" s="44"/>
      <c r="O403" s="29"/>
      <c r="P403" s="26"/>
      <c r="Q403" s="26"/>
      <c r="R403" s="26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>
      <c r="A404" s="39"/>
      <c r="B404" s="46"/>
      <c r="C404" s="46"/>
      <c r="D404" s="39"/>
      <c r="E404" s="39"/>
      <c r="F404" s="42"/>
      <c r="G404" s="42"/>
      <c r="H404" s="42"/>
      <c r="I404" s="42"/>
      <c r="J404" s="39"/>
      <c r="K404" s="42"/>
      <c r="L404" s="47"/>
      <c r="M404" s="43"/>
      <c r="N404" s="44"/>
      <c r="O404" s="29"/>
      <c r="P404" s="26"/>
      <c r="Q404" s="26"/>
      <c r="R404" s="26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>
      <c r="A405" s="39"/>
      <c r="B405" s="46"/>
      <c r="C405" s="46"/>
      <c r="D405" s="39"/>
      <c r="E405" s="39"/>
      <c r="F405" s="42"/>
      <c r="G405" s="42"/>
      <c r="H405" s="42"/>
      <c r="I405" s="42"/>
      <c r="J405" s="39"/>
      <c r="K405" s="42"/>
      <c r="L405" s="47"/>
      <c r="M405" s="43"/>
      <c r="N405" s="44"/>
      <c r="O405" s="29"/>
      <c r="P405" s="26"/>
      <c r="Q405" s="26"/>
      <c r="R405" s="26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>
      <c r="A406" s="39"/>
      <c r="B406" s="46"/>
      <c r="C406" s="46"/>
      <c r="D406" s="39"/>
      <c r="E406" s="39"/>
      <c r="F406" s="42"/>
      <c r="G406" s="42"/>
      <c r="H406" s="42"/>
      <c r="I406" s="42"/>
      <c r="J406" s="39"/>
      <c r="K406" s="42"/>
      <c r="L406" s="47"/>
      <c r="M406" s="43"/>
      <c r="N406" s="44"/>
      <c r="O406" s="29"/>
      <c r="P406" s="26"/>
      <c r="Q406" s="26"/>
      <c r="R406" s="26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>
      <c r="A407" s="39"/>
      <c r="B407" s="46"/>
      <c r="C407" s="46"/>
      <c r="D407" s="39"/>
      <c r="E407" s="39"/>
      <c r="F407" s="42"/>
      <c r="G407" s="42"/>
      <c r="H407" s="42"/>
      <c r="I407" s="42"/>
      <c r="J407" s="39"/>
      <c r="K407" s="42"/>
      <c r="L407" s="47"/>
      <c r="M407" s="43"/>
      <c r="N407" s="44"/>
      <c r="O407" s="29"/>
      <c r="P407" s="26"/>
      <c r="Q407" s="26"/>
      <c r="R407" s="26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>
      <c r="A408" s="39"/>
      <c r="B408" s="46"/>
      <c r="C408" s="46"/>
      <c r="D408" s="39"/>
      <c r="E408" s="39"/>
      <c r="F408" s="42"/>
      <c r="G408" s="42"/>
      <c r="H408" s="42"/>
      <c r="I408" s="42"/>
      <c r="J408" s="39"/>
      <c r="K408" s="42"/>
      <c r="L408" s="47"/>
      <c r="M408" s="43"/>
      <c r="N408" s="44"/>
      <c r="O408" s="29"/>
      <c r="P408" s="26"/>
      <c r="Q408" s="26"/>
      <c r="R408" s="26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>
      <c r="A409" s="39"/>
      <c r="B409" s="46"/>
      <c r="C409" s="46"/>
      <c r="D409" s="39"/>
      <c r="E409" s="39"/>
      <c r="F409" s="42"/>
      <c r="G409" s="42"/>
      <c r="H409" s="42"/>
      <c r="I409" s="42"/>
      <c r="J409" s="39"/>
      <c r="K409" s="42"/>
      <c r="L409" s="47"/>
      <c r="M409" s="43"/>
      <c r="N409" s="44"/>
      <c r="O409" s="29"/>
      <c r="P409" s="26"/>
      <c r="Q409" s="26"/>
      <c r="R409" s="26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>
      <c r="A410" s="39"/>
      <c r="B410" s="46"/>
      <c r="C410" s="46"/>
      <c r="D410" s="39"/>
      <c r="E410" s="39"/>
      <c r="F410" s="42"/>
      <c r="G410" s="42"/>
      <c r="H410" s="42"/>
      <c r="I410" s="42"/>
      <c r="J410" s="39"/>
      <c r="K410" s="42"/>
      <c r="L410" s="47"/>
      <c r="M410" s="43"/>
      <c r="N410" s="44"/>
      <c r="O410" s="29"/>
      <c r="P410" s="26"/>
      <c r="Q410" s="26"/>
      <c r="R410" s="26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>
      <c r="A411" s="39"/>
      <c r="B411" s="46"/>
      <c r="C411" s="46"/>
      <c r="D411" s="39"/>
      <c r="E411" s="39"/>
      <c r="F411" s="42"/>
      <c r="G411" s="42"/>
      <c r="H411" s="42"/>
      <c r="I411" s="42"/>
      <c r="J411" s="39"/>
      <c r="K411" s="42"/>
      <c r="L411" s="47"/>
      <c r="M411" s="43"/>
      <c r="N411" s="44"/>
      <c r="O411" s="29"/>
      <c r="P411" s="26"/>
      <c r="Q411" s="26"/>
      <c r="R411" s="26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>
      <c r="A412" s="39"/>
      <c r="B412" s="46"/>
      <c r="C412" s="46"/>
      <c r="D412" s="39"/>
      <c r="E412" s="39"/>
      <c r="F412" s="42"/>
      <c r="G412" s="42"/>
      <c r="H412" s="42"/>
      <c r="I412" s="42"/>
      <c r="J412" s="39"/>
      <c r="K412" s="42"/>
      <c r="L412" s="47"/>
      <c r="M412" s="43"/>
      <c r="N412" s="44"/>
      <c r="O412" s="29"/>
      <c r="P412" s="26"/>
      <c r="Q412" s="26"/>
      <c r="R412" s="26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>
      <c r="A413" s="39"/>
      <c r="B413" s="46"/>
      <c r="C413" s="46"/>
      <c r="D413" s="39"/>
      <c r="E413" s="39"/>
      <c r="F413" s="42"/>
      <c r="G413" s="42"/>
      <c r="H413" s="42"/>
      <c r="I413" s="42"/>
      <c r="J413" s="39"/>
      <c r="K413" s="42"/>
      <c r="L413" s="47"/>
      <c r="M413" s="43"/>
      <c r="N413" s="44"/>
      <c r="O413" s="29"/>
      <c r="P413" s="26"/>
      <c r="Q413" s="26"/>
      <c r="R413" s="26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>
      <c r="A414" s="39"/>
      <c r="B414" s="46"/>
      <c r="C414" s="46"/>
      <c r="D414" s="39"/>
      <c r="E414" s="39"/>
      <c r="F414" s="42"/>
      <c r="G414" s="42"/>
      <c r="H414" s="42"/>
      <c r="I414" s="42"/>
      <c r="J414" s="39"/>
      <c r="K414" s="42"/>
      <c r="L414" s="47"/>
      <c r="M414" s="43"/>
      <c r="N414" s="44"/>
      <c r="O414" s="29"/>
      <c r="P414" s="26"/>
      <c r="Q414" s="26"/>
      <c r="R414" s="26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>
      <c r="A415" s="39"/>
      <c r="B415" s="46"/>
      <c r="C415" s="46"/>
      <c r="D415" s="39"/>
      <c r="E415" s="39"/>
      <c r="F415" s="42"/>
      <c r="G415" s="42"/>
      <c r="H415" s="42"/>
      <c r="I415" s="42"/>
      <c r="J415" s="39"/>
      <c r="K415" s="42"/>
      <c r="L415" s="47"/>
      <c r="M415" s="43"/>
      <c r="N415" s="44"/>
      <c r="O415" s="29"/>
      <c r="P415" s="26"/>
      <c r="Q415" s="26"/>
      <c r="R415" s="26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>
      <c r="A416" s="39"/>
      <c r="B416" s="46"/>
      <c r="C416" s="46"/>
      <c r="D416" s="39"/>
      <c r="E416" s="39"/>
      <c r="F416" s="42"/>
      <c r="G416" s="42"/>
      <c r="H416" s="42"/>
      <c r="I416" s="42"/>
      <c r="J416" s="39"/>
      <c r="K416" s="42"/>
      <c r="L416" s="47"/>
      <c r="M416" s="43"/>
      <c r="N416" s="44"/>
      <c r="O416" s="29"/>
      <c r="P416" s="26"/>
      <c r="Q416" s="26"/>
      <c r="R416" s="26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>
      <c r="A417" s="39"/>
      <c r="B417" s="46"/>
      <c r="C417" s="46"/>
      <c r="D417" s="39"/>
      <c r="E417" s="39"/>
      <c r="F417" s="42"/>
      <c r="G417" s="42"/>
      <c r="H417" s="42"/>
      <c r="I417" s="42"/>
      <c r="J417" s="39"/>
      <c r="K417" s="42"/>
      <c r="L417" s="47"/>
      <c r="M417" s="43"/>
      <c r="N417" s="44"/>
      <c r="O417" s="29"/>
      <c r="P417" s="26"/>
      <c r="Q417" s="26"/>
      <c r="R417" s="26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>
      <c r="A418" s="39"/>
      <c r="B418" s="46"/>
      <c r="C418" s="46"/>
      <c r="D418" s="39"/>
      <c r="E418" s="39"/>
      <c r="F418" s="42"/>
      <c r="G418" s="42"/>
      <c r="H418" s="42"/>
      <c r="I418" s="42"/>
      <c r="J418" s="39"/>
      <c r="K418" s="42"/>
      <c r="L418" s="47"/>
      <c r="M418" s="43"/>
      <c r="N418" s="44"/>
      <c r="O418" s="29"/>
      <c r="P418" s="26"/>
      <c r="Q418" s="26"/>
      <c r="R418" s="26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>
      <c r="A419" s="39"/>
      <c r="B419" s="46"/>
      <c r="C419" s="46"/>
      <c r="D419" s="39"/>
      <c r="E419" s="39"/>
      <c r="F419" s="42"/>
      <c r="G419" s="42"/>
      <c r="H419" s="42"/>
      <c r="I419" s="42"/>
      <c r="J419" s="39"/>
      <c r="K419" s="42"/>
      <c r="L419" s="47"/>
      <c r="M419" s="43"/>
      <c r="N419" s="44"/>
      <c r="O419" s="29"/>
      <c r="P419" s="26"/>
      <c r="Q419" s="26"/>
      <c r="R419" s="26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>
      <c r="A420" s="39"/>
      <c r="B420" s="46"/>
      <c r="C420" s="46"/>
      <c r="D420" s="39"/>
      <c r="E420" s="39"/>
      <c r="F420" s="42"/>
      <c r="G420" s="42"/>
      <c r="H420" s="42"/>
      <c r="I420" s="42"/>
      <c r="J420" s="39"/>
      <c r="K420" s="42"/>
      <c r="L420" s="47"/>
      <c r="M420" s="43"/>
      <c r="N420" s="44"/>
      <c r="O420" s="29"/>
      <c r="P420" s="26"/>
      <c r="Q420" s="26"/>
      <c r="R420" s="26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>
      <c r="A421" s="39"/>
      <c r="B421" s="46"/>
      <c r="C421" s="46"/>
      <c r="D421" s="39"/>
      <c r="E421" s="39"/>
      <c r="F421" s="42"/>
      <c r="G421" s="42"/>
      <c r="H421" s="42"/>
      <c r="I421" s="42"/>
      <c r="J421" s="39"/>
      <c r="K421" s="42"/>
      <c r="L421" s="47"/>
      <c r="M421" s="43"/>
      <c r="N421" s="44"/>
      <c r="O421" s="29"/>
      <c r="P421" s="26"/>
      <c r="Q421" s="26"/>
      <c r="R421" s="26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>
      <c r="A422" s="39"/>
      <c r="B422" s="46"/>
      <c r="C422" s="46"/>
      <c r="D422" s="39"/>
      <c r="E422" s="39"/>
      <c r="F422" s="42"/>
      <c r="G422" s="42"/>
      <c r="H422" s="42"/>
      <c r="I422" s="42"/>
      <c r="J422" s="39"/>
      <c r="K422" s="42"/>
      <c r="L422" s="47"/>
      <c r="M422" s="43"/>
      <c r="N422" s="44"/>
      <c r="O422" s="29"/>
      <c r="P422" s="26"/>
      <c r="Q422" s="26"/>
      <c r="R422" s="26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>
      <c r="A423" s="39"/>
      <c r="B423" s="46"/>
      <c r="C423" s="46"/>
      <c r="D423" s="39"/>
      <c r="E423" s="39"/>
      <c r="F423" s="42"/>
      <c r="G423" s="42"/>
      <c r="H423" s="42"/>
      <c r="I423" s="42"/>
      <c r="J423" s="39"/>
      <c r="K423" s="42"/>
      <c r="L423" s="47"/>
      <c r="M423" s="43"/>
      <c r="N423" s="44"/>
      <c r="O423" s="29"/>
      <c r="P423" s="26"/>
      <c r="Q423" s="26"/>
      <c r="R423" s="26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>
      <c r="A424" s="39"/>
      <c r="B424" s="46"/>
      <c r="C424" s="46"/>
      <c r="D424" s="39"/>
      <c r="E424" s="39"/>
      <c r="F424" s="42"/>
      <c r="G424" s="42"/>
      <c r="H424" s="42"/>
      <c r="I424" s="42"/>
      <c r="J424" s="39"/>
      <c r="K424" s="42"/>
      <c r="L424" s="47"/>
      <c r="M424" s="43"/>
      <c r="N424" s="44"/>
      <c r="O424" s="29"/>
      <c r="P424" s="26"/>
      <c r="Q424" s="26"/>
      <c r="R424" s="26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>
      <c r="A425" s="39"/>
      <c r="B425" s="46"/>
      <c r="C425" s="46"/>
      <c r="D425" s="39"/>
      <c r="E425" s="39"/>
      <c r="F425" s="42"/>
      <c r="G425" s="42"/>
      <c r="H425" s="42"/>
      <c r="I425" s="42"/>
      <c r="J425" s="39"/>
      <c r="K425" s="42"/>
      <c r="L425" s="47"/>
      <c r="M425" s="43"/>
      <c r="N425" s="44"/>
      <c r="O425" s="29"/>
      <c r="P425" s="26"/>
      <c r="Q425" s="26"/>
      <c r="R425" s="26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>
      <c r="A426" s="39"/>
      <c r="B426" s="46"/>
      <c r="C426" s="46"/>
      <c r="D426" s="39"/>
      <c r="E426" s="39"/>
      <c r="F426" s="42"/>
      <c r="G426" s="42"/>
      <c r="H426" s="42"/>
      <c r="I426" s="42"/>
      <c r="J426" s="39"/>
      <c r="K426" s="42"/>
      <c r="L426" s="47"/>
      <c r="M426" s="43"/>
      <c r="N426" s="44"/>
      <c r="O426" s="29"/>
      <c r="P426" s="26"/>
      <c r="Q426" s="26"/>
      <c r="R426" s="26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>
      <c r="A427" s="39"/>
      <c r="B427" s="46"/>
      <c r="C427" s="46"/>
      <c r="D427" s="39"/>
      <c r="E427" s="39"/>
      <c r="F427" s="42"/>
      <c r="G427" s="42"/>
      <c r="H427" s="42"/>
      <c r="I427" s="42"/>
      <c r="J427" s="39"/>
      <c r="K427" s="42"/>
      <c r="L427" s="47"/>
      <c r="M427" s="43"/>
      <c r="N427" s="44"/>
      <c r="O427" s="29"/>
      <c r="P427" s="26"/>
      <c r="Q427" s="26"/>
      <c r="R427" s="26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>
      <c r="A428" s="39"/>
      <c r="B428" s="46"/>
      <c r="C428" s="46"/>
      <c r="D428" s="39"/>
      <c r="E428" s="39"/>
      <c r="F428" s="42"/>
      <c r="G428" s="42"/>
      <c r="H428" s="42"/>
      <c r="I428" s="42"/>
      <c r="J428" s="39"/>
      <c r="K428" s="42"/>
      <c r="L428" s="47"/>
      <c r="M428" s="43"/>
      <c r="N428" s="44"/>
      <c r="O428" s="29"/>
      <c r="P428" s="26"/>
      <c r="Q428" s="26"/>
      <c r="R428" s="26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>
      <c r="A429" s="39"/>
      <c r="B429" s="46"/>
      <c r="C429" s="46"/>
      <c r="D429" s="39"/>
      <c r="E429" s="39"/>
      <c r="F429" s="42"/>
      <c r="G429" s="42"/>
      <c r="H429" s="42"/>
      <c r="I429" s="42"/>
      <c r="J429" s="39"/>
      <c r="K429" s="42"/>
      <c r="L429" s="47"/>
      <c r="M429" s="43"/>
      <c r="N429" s="44"/>
      <c r="O429" s="29"/>
      <c r="P429" s="26"/>
      <c r="Q429" s="26"/>
      <c r="R429" s="26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>
      <c r="A430" s="39"/>
      <c r="B430" s="46"/>
      <c r="C430" s="46"/>
      <c r="D430" s="39"/>
      <c r="E430" s="39"/>
      <c r="F430" s="42"/>
      <c r="G430" s="42"/>
      <c r="H430" s="42"/>
      <c r="I430" s="42"/>
      <c r="J430" s="39"/>
      <c r="K430" s="42"/>
      <c r="L430" s="47"/>
      <c r="M430" s="43"/>
      <c r="N430" s="44"/>
      <c r="O430" s="29"/>
      <c r="P430" s="26"/>
      <c r="Q430" s="26"/>
      <c r="R430" s="26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>
      <c r="A431" s="39"/>
      <c r="B431" s="46"/>
      <c r="C431" s="46"/>
      <c r="D431" s="39"/>
      <c r="E431" s="39"/>
      <c r="F431" s="42"/>
      <c r="G431" s="42"/>
      <c r="H431" s="42"/>
      <c r="I431" s="42"/>
      <c r="J431" s="39"/>
      <c r="K431" s="42"/>
      <c r="L431" s="47"/>
      <c r="M431" s="43"/>
      <c r="N431" s="44"/>
      <c r="O431" s="29"/>
      <c r="P431" s="26"/>
      <c r="Q431" s="26"/>
      <c r="R431" s="26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>
      <c r="A432" s="39"/>
      <c r="B432" s="46"/>
      <c r="C432" s="46"/>
      <c r="D432" s="39"/>
      <c r="E432" s="39"/>
      <c r="F432" s="42"/>
      <c r="G432" s="42"/>
      <c r="H432" s="42"/>
      <c r="I432" s="42"/>
      <c r="J432" s="39"/>
      <c r="K432" s="42"/>
      <c r="L432" s="47"/>
      <c r="M432" s="43"/>
      <c r="N432" s="44"/>
      <c r="O432" s="29"/>
      <c r="P432" s="26"/>
      <c r="Q432" s="26"/>
      <c r="R432" s="26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>
      <c r="A433" s="39"/>
      <c r="B433" s="46"/>
      <c r="C433" s="46"/>
      <c r="D433" s="39"/>
      <c r="E433" s="39"/>
      <c r="F433" s="42"/>
      <c r="G433" s="42"/>
      <c r="H433" s="42"/>
      <c r="I433" s="42"/>
      <c r="J433" s="39"/>
      <c r="K433" s="42"/>
      <c r="L433" s="47"/>
      <c r="M433" s="43"/>
      <c r="N433" s="44"/>
      <c r="O433" s="29"/>
      <c r="P433" s="26"/>
      <c r="Q433" s="26"/>
      <c r="R433" s="26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>
      <c r="A434" s="39"/>
      <c r="B434" s="46"/>
      <c r="C434" s="46"/>
      <c r="D434" s="39"/>
      <c r="E434" s="39"/>
      <c r="F434" s="42"/>
      <c r="G434" s="42"/>
      <c r="H434" s="42"/>
      <c r="I434" s="42"/>
      <c r="J434" s="39"/>
      <c r="K434" s="42"/>
      <c r="L434" s="47"/>
      <c r="M434" s="43"/>
      <c r="N434" s="44"/>
      <c r="O434" s="29"/>
      <c r="P434" s="26"/>
      <c r="Q434" s="26"/>
      <c r="R434" s="26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>
      <c r="A435" s="39"/>
      <c r="B435" s="46"/>
      <c r="C435" s="46"/>
      <c r="D435" s="39"/>
      <c r="E435" s="39"/>
      <c r="F435" s="42"/>
      <c r="G435" s="42"/>
      <c r="H435" s="42"/>
      <c r="I435" s="42"/>
      <c r="J435" s="39"/>
      <c r="K435" s="42"/>
      <c r="L435" s="47"/>
      <c r="M435" s="43"/>
      <c r="N435" s="44"/>
      <c r="O435" s="29"/>
      <c r="P435" s="26"/>
      <c r="Q435" s="26"/>
      <c r="R435" s="26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>
      <c r="A436" s="39"/>
      <c r="B436" s="46"/>
      <c r="C436" s="46"/>
      <c r="D436" s="39"/>
      <c r="E436" s="39"/>
      <c r="F436" s="42"/>
      <c r="G436" s="42"/>
      <c r="H436" s="42"/>
      <c r="I436" s="42"/>
      <c r="J436" s="39"/>
      <c r="K436" s="42"/>
      <c r="L436" s="47"/>
      <c r="M436" s="43"/>
      <c r="N436" s="44"/>
      <c r="O436" s="29"/>
      <c r="P436" s="26"/>
      <c r="Q436" s="26"/>
      <c r="R436" s="26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>
      <c r="A437" s="39"/>
      <c r="B437" s="46"/>
      <c r="C437" s="46"/>
      <c r="D437" s="39"/>
      <c r="E437" s="39"/>
      <c r="F437" s="42"/>
      <c r="G437" s="42"/>
      <c r="H437" s="42"/>
      <c r="I437" s="42"/>
      <c r="J437" s="39"/>
      <c r="K437" s="42"/>
      <c r="L437" s="47"/>
      <c r="M437" s="43"/>
      <c r="N437" s="44"/>
      <c r="O437" s="29"/>
      <c r="P437" s="26"/>
      <c r="Q437" s="26"/>
      <c r="R437" s="26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>
      <c r="A438" s="39"/>
      <c r="B438" s="46"/>
      <c r="C438" s="46"/>
      <c r="D438" s="39"/>
      <c r="E438" s="39"/>
      <c r="F438" s="42"/>
      <c r="G438" s="42"/>
      <c r="H438" s="42"/>
      <c r="I438" s="42"/>
      <c r="J438" s="39"/>
      <c r="K438" s="42"/>
      <c r="L438" s="47"/>
      <c r="M438" s="43"/>
      <c r="N438" s="44"/>
      <c r="O438" s="29"/>
      <c r="P438" s="26"/>
      <c r="Q438" s="26"/>
      <c r="R438" s="26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>
      <c r="A439" s="39"/>
      <c r="B439" s="46"/>
      <c r="C439" s="46"/>
      <c r="D439" s="39"/>
      <c r="E439" s="39"/>
      <c r="F439" s="42"/>
      <c r="G439" s="42"/>
      <c r="H439" s="42"/>
      <c r="I439" s="42"/>
      <c r="J439" s="39"/>
      <c r="K439" s="42"/>
      <c r="L439" s="47"/>
      <c r="M439" s="43"/>
      <c r="N439" s="44"/>
      <c r="O439" s="29"/>
      <c r="P439" s="26"/>
      <c r="Q439" s="26"/>
      <c r="R439" s="26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>
      <c r="A440" s="39"/>
      <c r="B440" s="46"/>
      <c r="C440" s="46"/>
      <c r="D440" s="39"/>
      <c r="E440" s="39"/>
      <c r="F440" s="42"/>
      <c r="G440" s="42"/>
      <c r="H440" s="42"/>
      <c r="I440" s="42"/>
      <c r="J440" s="39"/>
      <c r="K440" s="42"/>
      <c r="L440" s="47"/>
      <c r="M440" s="43"/>
      <c r="N440" s="44"/>
      <c r="O440" s="29"/>
      <c r="P440" s="26"/>
      <c r="Q440" s="26"/>
      <c r="R440" s="26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39"/>
      <c r="B441" s="46"/>
      <c r="C441" s="46"/>
      <c r="D441" s="39"/>
      <c r="E441" s="39"/>
      <c r="F441" s="42"/>
      <c r="G441" s="42"/>
      <c r="H441" s="42"/>
      <c r="I441" s="42"/>
      <c r="J441" s="39"/>
      <c r="K441" s="42"/>
      <c r="L441" s="47"/>
      <c r="M441" s="43"/>
      <c r="N441" s="44"/>
      <c r="O441" s="29"/>
      <c r="P441" s="26"/>
      <c r="Q441" s="26"/>
      <c r="R441" s="26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>
      <c r="A442" s="39"/>
      <c r="B442" s="46"/>
      <c r="C442" s="46"/>
      <c r="D442" s="39"/>
      <c r="E442" s="39"/>
      <c r="F442" s="42"/>
      <c r="G442" s="42"/>
      <c r="H442" s="42"/>
      <c r="I442" s="42"/>
      <c r="J442" s="39"/>
      <c r="K442" s="42"/>
      <c r="L442" s="47"/>
      <c r="M442" s="43"/>
      <c r="N442" s="44"/>
      <c r="O442" s="29"/>
      <c r="P442" s="26"/>
      <c r="Q442" s="26"/>
      <c r="R442" s="26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>
      <c r="A443" s="39"/>
      <c r="B443" s="46"/>
      <c r="C443" s="46"/>
      <c r="D443" s="39"/>
      <c r="E443" s="39"/>
      <c r="F443" s="42"/>
      <c r="G443" s="42"/>
      <c r="H443" s="42"/>
      <c r="I443" s="42"/>
      <c r="J443" s="39"/>
      <c r="K443" s="42"/>
      <c r="L443" s="47"/>
      <c r="M443" s="43"/>
      <c r="N443" s="44"/>
      <c r="O443" s="29"/>
      <c r="P443" s="26"/>
      <c r="Q443" s="26"/>
      <c r="R443" s="26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>
      <c r="A444" s="39"/>
      <c r="B444" s="46"/>
      <c r="C444" s="46"/>
      <c r="D444" s="39"/>
      <c r="E444" s="39"/>
      <c r="F444" s="42"/>
      <c r="G444" s="42"/>
      <c r="H444" s="42"/>
      <c r="I444" s="42"/>
      <c r="J444" s="39"/>
      <c r="K444" s="42"/>
      <c r="L444" s="47"/>
      <c r="M444" s="43"/>
      <c r="N444" s="44"/>
      <c r="O444" s="29"/>
      <c r="P444" s="26"/>
      <c r="Q444" s="26"/>
      <c r="R444" s="26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>
      <c r="A445" s="39"/>
      <c r="B445" s="46"/>
      <c r="C445" s="46"/>
      <c r="D445" s="39"/>
      <c r="E445" s="39"/>
      <c r="F445" s="42"/>
      <c r="G445" s="42"/>
      <c r="H445" s="42"/>
      <c r="I445" s="42"/>
      <c r="J445" s="39"/>
      <c r="K445" s="42"/>
      <c r="L445" s="47"/>
      <c r="M445" s="43"/>
      <c r="N445" s="44"/>
      <c r="O445" s="29"/>
      <c r="P445" s="26"/>
      <c r="Q445" s="26"/>
      <c r="R445" s="26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>
      <c r="A446" s="39"/>
      <c r="B446" s="46"/>
      <c r="C446" s="46"/>
      <c r="D446" s="39"/>
      <c r="E446" s="39"/>
      <c r="F446" s="42"/>
      <c r="G446" s="42"/>
      <c r="H446" s="42"/>
      <c r="I446" s="42"/>
      <c r="J446" s="39"/>
      <c r="K446" s="42"/>
      <c r="L446" s="47"/>
      <c r="M446" s="43"/>
      <c r="N446" s="44"/>
      <c r="O446" s="29"/>
      <c r="P446" s="26"/>
      <c r="Q446" s="26"/>
      <c r="R446" s="26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>
      <c r="A447" s="39"/>
      <c r="B447" s="46"/>
      <c r="C447" s="46"/>
      <c r="D447" s="39"/>
      <c r="E447" s="39"/>
      <c r="F447" s="42"/>
      <c r="G447" s="42"/>
      <c r="H447" s="42"/>
      <c r="I447" s="42"/>
      <c r="J447" s="39"/>
      <c r="K447" s="42"/>
      <c r="L447" s="47"/>
      <c r="M447" s="43"/>
      <c r="N447" s="44"/>
      <c r="O447" s="29"/>
      <c r="P447" s="26"/>
      <c r="Q447" s="26"/>
      <c r="R447" s="26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>
      <c r="A448" s="39"/>
      <c r="B448" s="46"/>
      <c r="C448" s="46"/>
      <c r="D448" s="39"/>
      <c r="E448" s="39"/>
      <c r="F448" s="42"/>
      <c r="G448" s="42"/>
      <c r="H448" s="42"/>
      <c r="I448" s="42"/>
      <c r="J448" s="39"/>
      <c r="K448" s="42"/>
      <c r="L448" s="47"/>
      <c r="M448" s="43"/>
      <c r="N448" s="44"/>
      <c r="O448" s="29"/>
      <c r="P448" s="26"/>
      <c r="Q448" s="26"/>
      <c r="R448" s="26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>
      <c r="A449" s="39"/>
      <c r="B449" s="46"/>
      <c r="C449" s="46"/>
      <c r="D449" s="39"/>
      <c r="E449" s="39"/>
      <c r="F449" s="42"/>
      <c r="G449" s="42"/>
      <c r="H449" s="42"/>
      <c r="I449" s="42"/>
      <c r="J449" s="39"/>
      <c r="K449" s="42"/>
      <c r="L449" s="47"/>
      <c r="M449" s="43"/>
      <c r="N449" s="44"/>
      <c r="O449" s="29"/>
      <c r="P449" s="26"/>
      <c r="Q449" s="26"/>
      <c r="R449" s="26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>
      <c r="A450" s="39"/>
      <c r="B450" s="46"/>
      <c r="C450" s="46"/>
      <c r="D450" s="39"/>
      <c r="E450" s="39"/>
      <c r="F450" s="42"/>
      <c r="G450" s="42"/>
      <c r="H450" s="42"/>
      <c r="I450" s="42"/>
      <c r="J450" s="39"/>
      <c r="K450" s="42"/>
      <c r="L450" s="47"/>
      <c r="M450" s="43"/>
      <c r="N450" s="44"/>
      <c r="O450" s="29"/>
      <c r="P450" s="26"/>
      <c r="Q450" s="26"/>
      <c r="R450" s="26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>
      <c r="A451" s="39"/>
      <c r="B451" s="46"/>
      <c r="C451" s="46"/>
      <c r="D451" s="39"/>
      <c r="E451" s="39"/>
      <c r="F451" s="42"/>
      <c r="G451" s="42"/>
      <c r="H451" s="42"/>
      <c r="I451" s="42"/>
      <c r="J451" s="39"/>
      <c r="K451" s="42"/>
      <c r="L451" s="47"/>
      <c r="M451" s="43"/>
      <c r="N451" s="44"/>
      <c r="O451" s="29"/>
      <c r="P451" s="26"/>
      <c r="Q451" s="26"/>
      <c r="R451" s="26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>
      <c r="A452" s="39"/>
      <c r="B452" s="46"/>
      <c r="C452" s="46"/>
      <c r="D452" s="39"/>
      <c r="E452" s="39"/>
      <c r="F452" s="42"/>
      <c r="G452" s="42"/>
      <c r="H452" s="42"/>
      <c r="I452" s="42"/>
      <c r="J452" s="39"/>
      <c r="K452" s="42"/>
      <c r="L452" s="47"/>
      <c r="M452" s="43"/>
      <c r="N452" s="44"/>
      <c r="O452" s="29"/>
      <c r="P452" s="26"/>
      <c r="Q452" s="26"/>
      <c r="R452" s="26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>
      <c r="A453" s="39"/>
      <c r="B453" s="46"/>
      <c r="C453" s="46"/>
      <c r="D453" s="39"/>
      <c r="E453" s="39"/>
      <c r="F453" s="42"/>
      <c r="G453" s="42"/>
      <c r="H453" s="42"/>
      <c r="I453" s="42"/>
      <c r="J453" s="39"/>
      <c r="K453" s="42"/>
      <c r="L453" s="47"/>
      <c r="M453" s="43"/>
      <c r="N453" s="44"/>
      <c r="O453" s="29"/>
      <c r="P453" s="26"/>
      <c r="Q453" s="26"/>
      <c r="R453" s="26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>
      <c r="A454" s="39"/>
      <c r="B454" s="46"/>
      <c r="C454" s="46"/>
      <c r="D454" s="39"/>
      <c r="E454" s="39"/>
      <c r="F454" s="42"/>
      <c r="G454" s="42"/>
      <c r="H454" s="42"/>
      <c r="I454" s="42"/>
      <c r="J454" s="39"/>
      <c r="K454" s="42"/>
      <c r="L454" s="47"/>
      <c r="M454" s="43"/>
      <c r="N454" s="44"/>
      <c r="O454" s="29"/>
      <c r="P454" s="26"/>
      <c r="Q454" s="26"/>
      <c r="R454" s="26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>
      <c r="A455" s="39"/>
      <c r="B455" s="46"/>
      <c r="C455" s="46"/>
      <c r="D455" s="39"/>
      <c r="E455" s="39"/>
      <c r="F455" s="42"/>
      <c r="G455" s="42"/>
      <c r="H455" s="42"/>
      <c r="I455" s="42"/>
      <c r="J455" s="39"/>
      <c r="K455" s="42"/>
      <c r="L455" s="47"/>
      <c r="M455" s="43"/>
      <c r="N455" s="44"/>
      <c r="O455" s="29"/>
      <c r="P455" s="26"/>
      <c r="Q455" s="26"/>
      <c r="R455" s="26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>
      <c r="A456" s="39"/>
      <c r="B456" s="46"/>
      <c r="C456" s="46"/>
      <c r="D456" s="39"/>
      <c r="E456" s="39"/>
      <c r="F456" s="42"/>
      <c r="G456" s="42"/>
      <c r="H456" s="42"/>
      <c r="I456" s="42"/>
      <c r="J456" s="39"/>
      <c r="K456" s="42"/>
      <c r="L456" s="47"/>
      <c r="M456" s="43"/>
      <c r="N456" s="44"/>
      <c r="O456" s="29"/>
      <c r="P456" s="26"/>
      <c r="Q456" s="26"/>
      <c r="R456" s="26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>
      <c r="A457" s="39"/>
      <c r="B457" s="46"/>
      <c r="C457" s="46"/>
      <c r="D457" s="39"/>
      <c r="E457" s="39"/>
      <c r="F457" s="42"/>
      <c r="G457" s="42"/>
      <c r="H457" s="42"/>
      <c r="I457" s="42"/>
      <c r="J457" s="39"/>
      <c r="K457" s="42"/>
      <c r="L457" s="47"/>
      <c r="M457" s="43"/>
      <c r="N457" s="44"/>
      <c r="O457" s="29"/>
      <c r="P457" s="26"/>
      <c r="Q457" s="26"/>
      <c r="R457" s="26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>
      <c r="A458" s="39"/>
      <c r="B458" s="46"/>
      <c r="C458" s="46"/>
      <c r="D458" s="39"/>
      <c r="E458" s="39"/>
      <c r="F458" s="42"/>
      <c r="G458" s="42"/>
      <c r="H458" s="42"/>
      <c r="I458" s="42"/>
      <c r="J458" s="39"/>
      <c r="K458" s="42"/>
      <c r="L458" s="47"/>
      <c r="M458" s="43"/>
      <c r="N458" s="44"/>
      <c r="O458" s="29"/>
      <c r="P458" s="26"/>
      <c r="Q458" s="26"/>
      <c r="R458" s="26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39"/>
      <c r="B459" s="46"/>
      <c r="C459" s="46"/>
      <c r="D459" s="39"/>
      <c r="E459" s="39"/>
      <c r="F459" s="42"/>
      <c r="G459" s="42"/>
      <c r="H459" s="42"/>
      <c r="I459" s="42"/>
      <c r="J459" s="39"/>
      <c r="K459" s="42"/>
      <c r="L459" s="47"/>
      <c r="M459" s="43"/>
      <c r="N459" s="44"/>
      <c r="O459" s="29"/>
      <c r="P459" s="26"/>
      <c r="Q459" s="26"/>
      <c r="R459" s="26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>
      <c r="A460" s="39"/>
      <c r="B460" s="46"/>
      <c r="C460" s="46"/>
      <c r="D460" s="39"/>
      <c r="E460" s="39"/>
      <c r="F460" s="42"/>
      <c r="G460" s="42"/>
      <c r="H460" s="42"/>
      <c r="I460" s="42"/>
      <c r="J460" s="39"/>
      <c r="K460" s="42"/>
      <c r="L460" s="47"/>
      <c r="M460" s="43"/>
      <c r="N460" s="44"/>
      <c r="O460" s="29"/>
      <c r="P460" s="26"/>
      <c r="Q460" s="26"/>
      <c r="R460" s="26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>
      <c r="A461" s="39"/>
      <c r="B461" s="46"/>
      <c r="C461" s="46"/>
      <c r="D461" s="39"/>
      <c r="E461" s="39"/>
      <c r="F461" s="42"/>
      <c r="G461" s="42"/>
      <c r="H461" s="42"/>
      <c r="I461" s="42"/>
      <c r="J461" s="39"/>
      <c r="K461" s="42"/>
      <c r="L461" s="47"/>
      <c r="M461" s="43"/>
      <c r="N461" s="44"/>
      <c r="O461" s="29"/>
      <c r="P461" s="26"/>
      <c r="Q461" s="26"/>
      <c r="R461" s="26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>
      <c r="A462" s="39"/>
      <c r="B462" s="46"/>
      <c r="C462" s="46"/>
      <c r="D462" s="39"/>
      <c r="E462" s="39"/>
      <c r="F462" s="42"/>
      <c r="G462" s="42"/>
      <c r="H462" s="42"/>
      <c r="I462" s="42"/>
      <c r="J462" s="39"/>
      <c r="K462" s="42"/>
      <c r="L462" s="47"/>
      <c r="M462" s="43"/>
      <c r="N462" s="44"/>
      <c r="O462" s="29"/>
      <c r="P462" s="26"/>
      <c r="Q462" s="26"/>
      <c r="R462" s="26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>
      <c r="A463" s="39"/>
      <c r="B463" s="46"/>
      <c r="C463" s="46"/>
      <c r="D463" s="39"/>
      <c r="E463" s="39"/>
      <c r="F463" s="42"/>
      <c r="G463" s="42"/>
      <c r="H463" s="42"/>
      <c r="I463" s="42"/>
      <c r="J463" s="39"/>
      <c r="K463" s="42"/>
      <c r="L463" s="47"/>
      <c r="M463" s="43"/>
      <c r="N463" s="44"/>
      <c r="O463" s="29"/>
      <c r="P463" s="26"/>
      <c r="Q463" s="26"/>
      <c r="R463" s="26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>
      <c r="A464" s="39"/>
      <c r="B464" s="46"/>
      <c r="C464" s="46"/>
      <c r="D464" s="39"/>
      <c r="E464" s="39"/>
      <c r="F464" s="42"/>
      <c r="G464" s="42"/>
      <c r="H464" s="42"/>
      <c r="I464" s="42"/>
      <c r="J464" s="39"/>
      <c r="K464" s="42"/>
      <c r="L464" s="47"/>
      <c r="M464" s="43"/>
      <c r="N464" s="44"/>
      <c r="O464" s="29"/>
      <c r="P464" s="26"/>
      <c r="Q464" s="26"/>
      <c r="R464" s="26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>
      <c r="A465" s="39"/>
      <c r="B465" s="46"/>
      <c r="C465" s="46"/>
      <c r="D465" s="39"/>
      <c r="E465" s="39"/>
      <c r="F465" s="42"/>
      <c r="G465" s="42"/>
      <c r="H465" s="42"/>
      <c r="I465" s="42"/>
      <c r="J465" s="39"/>
      <c r="K465" s="42"/>
      <c r="L465" s="47"/>
      <c r="M465" s="43"/>
      <c r="N465" s="44"/>
      <c r="O465" s="29"/>
      <c r="P465" s="26"/>
      <c r="Q465" s="26"/>
      <c r="R465" s="26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>
      <c r="A466" s="39"/>
      <c r="B466" s="46"/>
      <c r="C466" s="46"/>
      <c r="D466" s="39"/>
      <c r="E466" s="39"/>
      <c r="F466" s="42"/>
      <c r="G466" s="42"/>
      <c r="H466" s="42"/>
      <c r="I466" s="42"/>
      <c r="J466" s="39"/>
      <c r="K466" s="42"/>
      <c r="L466" s="47"/>
      <c r="M466" s="43"/>
      <c r="N466" s="44"/>
      <c r="O466" s="29"/>
      <c r="P466" s="26"/>
      <c r="Q466" s="26"/>
      <c r="R466" s="26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>
      <c r="A467" s="39"/>
      <c r="B467" s="46"/>
      <c r="C467" s="46"/>
      <c r="D467" s="39"/>
      <c r="E467" s="39"/>
      <c r="F467" s="42"/>
      <c r="G467" s="42"/>
      <c r="H467" s="42"/>
      <c r="I467" s="42"/>
      <c r="J467" s="39"/>
      <c r="K467" s="42"/>
      <c r="L467" s="47"/>
      <c r="M467" s="43"/>
      <c r="N467" s="44"/>
      <c r="O467" s="29"/>
      <c r="P467" s="26"/>
      <c r="Q467" s="26"/>
      <c r="R467" s="26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>
      <c r="A468" s="39"/>
      <c r="B468" s="46"/>
      <c r="C468" s="46"/>
      <c r="D468" s="39"/>
      <c r="E468" s="39"/>
      <c r="F468" s="42"/>
      <c r="G468" s="42"/>
      <c r="H468" s="42"/>
      <c r="I468" s="42"/>
      <c r="J468" s="39"/>
      <c r="K468" s="42"/>
      <c r="L468" s="47"/>
      <c r="M468" s="43"/>
      <c r="N468" s="44"/>
      <c r="O468" s="29"/>
      <c r="P468" s="26"/>
      <c r="Q468" s="26"/>
      <c r="R468" s="26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>
      <c r="A469" s="39"/>
      <c r="B469" s="46"/>
      <c r="C469" s="46"/>
      <c r="D469" s="39"/>
      <c r="E469" s="39"/>
      <c r="F469" s="42"/>
      <c r="G469" s="42"/>
      <c r="H469" s="42"/>
      <c r="I469" s="42"/>
      <c r="J469" s="39"/>
      <c r="K469" s="42"/>
      <c r="L469" s="47"/>
      <c r="M469" s="43"/>
      <c r="N469" s="44"/>
      <c r="O469" s="29"/>
      <c r="P469" s="26"/>
      <c r="Q469" s="26"/>
      <c r="R469" s="26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>
      <c r="A470" s="39"/>
      <c r="B470" s="46"/>
      <c r="C470" s="46"/>
      <c r="D470" s="39"/>
      <c r="E470" s="39"/>
      <c r="F470" s="42"/>
      <c r="G470" s="42"/>
      <c r="H470" s="42"/>
      <c r="I470" s="42"/>
      <c r="J470" s="39"/>
      <c r="K470" s="42"/>
      <c r="L470" s="47"/>
      <c r="M470" s="43"/>
      <c r="N470" s="44"/>
      <c r="O470" s="29"/>
      <c r="P470" s="26"/>
      <c r="Q470" s="26"/>
      <c r="R470" s="26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>
      <c r="A471" s="39"/>
      <c r="B471" s="46"/>
      <c r="C471" s="46"/>
      <c r="D471" s="39"/>
      <c r="E471" s="39"/>
      <c r="F471" s="42"/>
      <c r="G471" s="42"/>
      <c r="H471" s="42"/>
      <c r="I471" s="42"/>
      <c r="J471" s="39"/>
      <c r="K471" s="42"/>
      <c r="L471" s="47"/>
      <c r="M471" s="43"/>
      <c r="N471" s="44"/>
      <c r="O471" s="29"/>
      <c r="P471" s="26"/>
      <c r="Q471" s="26"/>
      <c r="R471" s="26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>
      <c r="A472" s="39"/>
      <c r="B472" s="46"/>
      <c r="C472" s="46"/>
      <c r="D472" s="39"/>
      <c r="E472" s="39"/>
      <c r="F472" s="42"/>
      <c r="G472" s="42"/>
      <c r="H472" s="42"/>
      <c r="I472" s="42"/>
      <c r="J472" s="39"/>
      <c r="K472" s="42"/>
      <c r="L472" s="47"/>
      <c r="M472" s="43"/>
      <c r="N472" s="44"/>
      <c r="O472" s="29"/>
      <c r="P472" s="26"/>
      <c r="Q472" s="26"/>
      <c r="R472" s="26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>
      <c r="A473" s="39"/>
      <c r="B473" s="46"/>
      <c r="C473" s="46"/>
      <c r="D473" s="39"/>
      <c r="E473" s="39"/>
      <c r="F473" s="42"/>
      <c r="G473" s="42"/>
      <c r="H473" s="42"/>
      <c r="I473" s="42"/>
      <c r="J473" s="39"/>
      <c r="K473" s="42"/>
      <c r="L473" s="47"/>
      <c r="M473" s="43"/>
      <c r="N473" s="44"/>
      <c r="O473" s="29"/>
      <c r="P473" s="26"/>
      <c r="Q473" s="26"/>
      <c r="R473" s="26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>
      <c r="A474" s="39"/>
      <c r="B474" s="46"/>
      <c r="C474" s="46"/>
      <c r="D474" s="39"/>
      <c r="E474" s="39"/>
      <c r="F474" s="42"/>
      <c r="G474" s="42"/>
      <c r="H474" s="42"/>
      <c r="I474" s="42"/>
      <c r="J474" s="39"/>
      <c r="K474" s="42"/>
      <c r="L474" s="47"/>
      <c r="M474" s="43"/>
      <c r="N474" s="44"/>
      <c r="O474" s="29"/>
      <c r="P474" s="26"/>
      <c r="Q474" s="26"/>
      <c r="R474" s="26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>
      <c r="A475" s="39"/>
      <c r="B475" s="46"/>
      <c r="C475" s="46"/>
      <c r="D475" s="39"/>
      <c r="E475" s="39"/>
      <c r="F475" s="42"/>
      <c r="G475" s="42"/>
      <c r="H475" s="42"/>
      <c r="I475" s="42"/>
      <c r="J475" s="39"/>
      <c r="K475" s="42"/>
      <c r="L475" s="47"/>
      <c r="M475" s="43"/>
      <c r="N475" s="44"/>
      <c r="O475" s="29"/>
      <c r="P475" s="26"/>
      <c r="Q475" s="26"/>
      <c r="R475" s="26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>
      <c r="A476" s="39"/>
      <c r="B476" s="46"/>
      <c r="C476" s="46"/>
      <c r="D476" s="39"/>
      <c r="E476" s="39"/>
      <c r="F476" s="42"/>
      <c r="G476" s="42"/>
      <c r="H476" s="42"/>
      <c r="I476" s="42"/>
      <c r="J476" s="39"/>
      <c r="K476" s="42"/>
      <c r="L476" s="47"/>
      <c r="M476" s="43"/>
      <c r="N476" s="44"/>
      <c r="O476" s="29"/>
      <c r="P476" s="26"/>
      <c r="Q476" s="26"/>
      <c r="R476" s="26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>
      <c r="A477" s="39"/>
      <c r="B477" s="46"/>
      <c r="C477" s="46"/>
      <c r="D477" s="39"/>
      <c r="E477" s="39"/>
      <c r="F477" s="42"/>
      <c r="G477" s="42"/>
      <c r="H477" s="42"/>
      <c r="I477" s="42"/>
      <c r="J477" s="39"/>
      <c r="K477" s="42"/>
      <c r="L477" s="47"/>
      <c r="M477" s="43"/>
      <c r="N477" s="44"/>
      <c r="O477" s="29"/>
      <c r="P477" s="26"/>
      <c r="Q477" s="26"/>
      <c r="R477" s="26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>
      <c r="A478" s="39"/>
      <c r="B478" s="46"/>
      <c r="C478" s="46"/>
      <c r="D478" s="39"/>
      <c r="E478" s="39"/>
      <c r="F478" s="42"/>
      <c r="G478" s="42"/>
      <c r="H478" s="42"/>
      <c r="I478" s="42"/>
      <c r="J478" s="39"/>
      <c r="K478" s="42"/>
      <c r="L478" s="47"/>
      <c r="M478" s="43"/>
      <c r="N478" s="44"/>
      <c r="O478" s="29"/>
      <c r="P478" s="26"/>
      <c r="Q478" s="26"/>
      <c r="R478" s="26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>
      <c r="A479" s="39"/>
      <c r="B479" s="46"/>
      <c r="C479" s="46"/>
      <c r="D479" s="39"/>
      <c r="E479" s="39"/>
      <c r="F479" s="42"/>
      <c r="G479" s="42"/>
      <c r="H479" s="42"/>
      <c r="I479" s="42"/>
      <c r="J479" s="39"/>
      <c r="K479" s="42"/>
      <c r="L479" s="47"/>
      <c r="M479" s="43"/>
      <c r="N479" s="44"/>
      <c r="O479" s="29"/>
      <c r="P479" s="26"/>
      <c r="Q479" s="26"/>
      <c r="R479" s="26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>
      <c r="A480" s="39"/>
      <c r="B480" s="46"/>
      <c r="C480" s="46"/>
      <c r="D480" s="39"/>
      <c r="E480" s="39"/>
      <c r="F480" s="42"/>
      <c r="G480" s="42"/>
      <c r="H480" s="42"/>
      <c r="I480" s="42"/>
      <c r="J480" s="39"/>
      <c r="K480" s="42"/>
      <c r="L480" s="47"/>
      <c r="M480" s="43"/>
      <c r="N480" s="44"/>
      <c r="O480" s="29"/>
      <c r="P480" s="26"/>
      <c r="Q480" s="26"/>
      <c r="R480" s="26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>
      <c r="A481" s="39"/>
      <c r="B481" s="46"/>
      <c r="C481" s="46"/>
      <c r="D481" s="39"/>
      <c r="E481" s="39"/>
      <c r="F481" s="42"/>
      <c r="G481" s="42"/>
      <c r="H481" s="42"/>
      <c r="I481" s="42"/>
      <c r="J481" s="39"/>
      <c r="K481" s="42"/>
      <c r="L481" s="47"/>
      <c r="M481" s="43"/>
      <c r="N481" s="44"/>
      <c r="O481" s="29"/>
      <c r="P481" s="26"/>
      <c r="Q481" s="26"/>
      <c r="R481" s="26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>
      <c r="A482" s="39"/>
      <c r="B482" s="46"/>
      <c r="C482" s="46"/>
      <c r="D482" s="39"/>
      <c r="E482" s="39"/>
      <c r="F482" s="42"/>
      <c r="G482" s="42"/>
      <c r="H482" s="42"/>
      <c r="I482" s="42"/>
      <c r="J482" s="39"/>
      <c r="K482" s="42"/>
      <c r="L482" s="47"/>
      <c r="M482" s="43"/>
      <c r="N482" s="44"/>
      <c r="O482" s="29"/>
      <c r="P482" s="26"/>
      <c r="Q482" s="26"/>
      <c r="R482" s="26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>
      <c r="A483" s="39"/>
      <c r="B483" s="46"/>
      <c r="C483" s="46"/>
      <c r="D483" s="39"/>
      <c r="E483" s="39"/>
      <c r="F483" s="42"/>
      <c r="G483" s="42"/>
      <c r="H483" s="42"/>
      <c r="I483" s="42"/>
      <c r="J483" s="39"/>
      <c r="K483" s="42"/>
      <c r="L483" s="47"/>
      <c r="M483" s="43"/>
      <c r="N483" s="44"/>
      <c r="O483" s="29"/>
      <c r="P483" s="26"/>
      <c r="Q483" s="26"/>
      <c r="R483" s="26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>
      <c r="A484" s="39"/>
      <c r="B484" s="46"/>
      <c r="C484" s="46"/>
      <c r="D484" s="39"/>
      <c r="E484" s="39"/>
      <c r="F484" s="42"/>
      <c r="G484" s="42"/>
      <c r="H484" s="42"/>
      <c r="I484" s="42"/>
      <c r="J484" s="39"/>
      <c r="K484" s="42"/>
      <c r="L484" s="47"/>
      <c r="M484" s="43"/>
      <c r="N484" s="44"/>
      <c r="O484" s="29"/>
      <c r="P484" s="26"/>
      <c r="Q484" s="26"/>
      <c r="R484" s="26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>
      <c r="A485" s="39"/>
      <c r="B485" s="46"/>
      <c r="C485" s="46"/>
      <c r="D485" s="39"/>
      <c r="E485" s="39"/>
      <c r="F485" s="42"/>
      <c r="G485" s="42"/>
      <c r="H485" s="42"/>
      <c r="I485" s="42"/>
      <c r="J485" s="39"/>
      <c r="K485" s="42"/>
      <c r="L485" s="47"/>
      <c r="M485" s="43"/>
      <c r="N485" s="44"/>
      <c r="O485" s="29"/>
      <c r="P485" s="26"/>
      <c r="Q485" s="26"/>
      <c r="R485" s="26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>
      <c r="A486" s="39"/>
      <c r="B486" s="46"/>
      <c r="C486" s="46"/>
      <c r="D486" s="39"/>
      <c r="E486" s="39"/>
      <c r="F486" s="42"/>
      <c r="G486" s="42"/>
      <c r="H486" s="42"/>
      <c r="I486" s="42"/>
      <c r="J486" s="39"/>
      <c r="K486" s="42"/>
      <c r="L486" s="47"/>
      <c r="M486" s="43"/>
      <c r="N486" s="44"/>
      <c r="O486" s="29"/>
      <c r="P486" s="26"/>
      <c r="Q486" s="26"/>
      <c r="R486" s="26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>
      <c r="A487" s="39"/>
      <c r="B487" s="46"/>
      <c r="C487" s="46"/>
      <c r="D487" s="39"/>
      <c r="E487" s="39"/>
      <c r="F487" s="42"/>
      <c r="G487" s="42"/>
      <c r="H487" s="42"/>
      <c r="I487" s="42"/>
      <c r="J487" s="39"/>
      <c r="K487" s="42"/>
      <c r="L487" s="47"/>
      <c r="M487" s="43"/>
      <c r="N487" s="44"/>
      <c r="O487" s="29"/>
      <c r="P487" s="26"/>
      <c r="Q487" s="26"/>
      <c r="R487" s="26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>
      <c r="A488" s="39"/>
      <c r="B488" s="46"/>
      <c r="C488" s="46"/>
      <c r="D488" s="39"/>
      <c r="E488" s="39"/>
      <c r="F488" s="42"/>
      <c r="G488" s="42"/>
      <c r="H488" s="42"/>
      <c r="I488" s="42"/>
      <c r="J488" s="39"/>
      <c r="K488" s="42"/>
      <c r="L488" s="47"/>
      <c r="M488" s="43"/>
      <c r="N488" s="44"/>
      <c r="O488" s="29"/>
      <c r="P488" s="26"/>
      <c r="Q488" s="26"/>
      <c r="R488" s="26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>
      <c r="A489" s="39"/>
      <c r="B489" s="46"/>
      <c r="C489" s="46"/>
      <c r="D489" s="39"/>
      <c r="E489" s="39"/>
      <c r="F489" s="42"/>
      <c r="G489" s="42"/>
      <c r="H489" s="42"/>
      <c r="I489" s="42"/>
      <c r="J489" s="39"/>
      <c r="K489" s="42"/>
      <c r="L489" s="47"/>
      <c r="M489" s="43"/>
      <c r="N489" s="44"/>
      <c r="O489" s="29"/>
      <c r="P489" s="26"/>
      <c r="Q489" s="26"/>
      <c r="R489" s="26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>
      <c r="A490" s="39"/>
      <c r="B490" s="46"/>
      <c r="C490" s="46"/>
      <c r="D490" s="39"/>
      <c r="E490" s="39"/>
      <c r="F490" s="42"/>
      <c r="G490" s="42"/>
      <c r="H490" s="42"/>
      <c r="I490" s="42"/>
      <c r="J490" s="39"/>
      <c r="K490" s="42"/>
      <c r="L490" s="47"/>
      <c r="M490" s="43"/>
      <c r="N490" s="44"/>
      <c r="O490" s="29"/>
      <c r="P490" s="26"/>
      <c r="Q490" s="26"/>
      <c r="R490" s="26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>
      <c r="A491" s="39"/>
      <c r="B491" s="46"/>
      <c r="C491" s="46"/>
      <c r="D491" s="39"/>
      <c r="E491" s="39"/>
      <c r="F491" s="42"/>
      <c r="G491" s="42"/>
      <c r="H491" s="42"/>
      <c r="I491" s="42"/>
      <c r="J491" s="39"/>
      <c r="K491" s="42"/>
      <c r="L491" s="47"/>
      <c r="M491" s="43"/>
      <c r="N491" s="44"/>
      <c r="O491" s="29"/>
      <c r="P491" s="26"/>
      <c r="Q491" s="26"/>
      <c r="R491" s="26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>
      <c r="A492" s="39"/>
      <c r="B492" s="46"/>
      <c r="C492" s="46"/>
      <c r="D492" s="39"/>
      <c r="E492" s="39"/>
      <c r="F492" s="42"/>
      <c r="G492" s="42"/>
      <c r="H492" s="42"/>
      <c r="I492" s="42"/>
      <c r="J492" s="39"/>
      <c r="K492" s="42"/>
      <c r="L492" s="47"/>
      <c r="M492" s="43"/>
      <c r="N492" s="44"/>
      <c r="O492" s="29"/>
      <c r="P492" s="26"/>
      <c r="Q492" s="26"/>
      <c r="R492" s="26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>
      <c r="A493" s="39"/>
      <c r="B493" s="46"/>
      <c r="C493" s="46"/>
      <c r="D493" s="39"/>
      <c r="E493" s="39"/>
      <c r="F493" s="42"/>
      <c r="G493" s="42"/>
      <c r="H493" s="42"/>
      <c r="I493" s="42"/>
      <c r="J493" s="39"/>
      <c r="K493" s="42"/>
      <c r="L493" s="47"/>
      <c r="M493" s="43"/>
      <c r="N493" s="44"/>
      <c r="O493" s="29"/>
      <c r="P493" s="26"/>
      <c r="Q493" s="26"/>
      <c r="R493" s="26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>
      <c r="A494" s="39"/>
      <c r="B494" s="46"/>
      <c r="C494" s="46"/>
      <c r="D494" s="39"/>
      <c r="E494" s="39"/>
      <c r="F494" s="42"/>
      <c r="G494" s="42"/>
      <c r="H494" s="42"/>
      <c r="I494" s="42"/>
      <c r="J494" s="39"/>
      <c r="K494" s="42"/>
      <c r="L494" s="47"/>
      <c r="M494" s="43"/>
      <c r="N494" s="44"/>
      <c r="O494" s="29"/>
      <c r="P494" s="26"/>
      <c r="Q494" s="26"/>
      <c r="R494" s="26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>
      <c r="A495" s="39"/>
      <c r="B495" s="46"/>
      <c r="C495" s="46"/>
      <c r="D495" s="39"/>
      <c r="E495" s="39"/>
      <c r="F495" s="42"/>
      <c r="G495" s="42"/>
      <c r="H495" s="42"/>
      <c r="I495" s="42"/>
      <c r="J495" s="39"/>
      <c r="K495" s="42"/>
      <c r="L495" s="47"/>
      <c r="M495" s="43"/>
      <c r="N495" s="44"/>
      <c r="O495" s="29"/>
      <c r="P495" s="26"/>
      <c r="Q495" s="26"/>
      <c r="R495" s="26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>
      <c r="A496" s="39"/>
      <c r="B496" s="46"/>
      <c r="C496" s="46"/>
      <c r="D496" s="39"/>
      <c r="E496" s="39"/>
      <c r="F496" s="42"/>
      <c r="G496" s="42"/>
      <c r="H496" s="42"/>
      <c r="I496" s="42"/>
      <c r="J496" s="39"/>
      <c r="K496" s="42"/>
      <c r="L496" s="47"/>
      <c r="M496" s="43"/>
      <c r="N496" s="44"/>
      <c r="O496" s="29"/>
      <c r="P496" s="26"/>
      <c r="Q496" s="26"/>
      <c r="R496" s="26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>
      <c r="A497" s="39"/>
      <c r="B497" s="46"/>
      <c r="C497" s="46"/>
      <c r="D497" s="39"/>
      <c r="E497" s="39"/>
      <c r="F497" s="42"/>
      <c r="G497" s="42"/>
      <c r="H497" s="42"/>
      <c r="I497" s="42"/>
      <c r="J497" s="39"/>
      <c r="K497" s="42"/>
      <c r="L497" s="47"/>
      <c r="M497" s="43"/>
      <c r="N497" s="44"/>
      <c r="O497" s="29"/>
      <c r="P497" s="26"/>
      <c r="Q497" s="26"/>
      <c r="R497" s="26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>
      <c r="A498" s="39"/>
      <c r="B498" s="46"/>
      <c r="C498" s="46"/>
      <c r="D498" s="39"/>
      <c r="E498" s="39"/>
      <c r="F498" s="42"/>
      <c r="G498" s="42"/>
      <c r="H498" s="42"/>
      <c r="I498" s="42"/>
      <c r="J498" s="39"/>
      <c r="K498" s="42"/>
      <c r="L498" s="47"/>
      <c r="M498" s="43"/>
      <c r="N498" s="44"/>
      <c r="O498" s="29"/>
      <c r="P498" s="26"/>
      <c r="Q498" s="26"/>
      <c r="R498" s="26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>
      <c r="A499" s="39"/>
      <c r="B499" s="46"/>
      <c r="C499" s="46"/>
      <c r="D499" s="39"/>
      <c r="E499" s="39"/>
      <c r="F499" s="42"/>
      <c r="G499" s="42"/>
      <c r="H499" s="42"/>
      <c r="I499" s="42"/>
      <c r="J499" s="39"/>
      <c r="K499" s="42"/>
      <c r="L499" s="47"/>
      <c r="M499" s="43"/>
      <c r="N499" s="44"/>
      <c r="O499" s="29"/>
      <c r="P499" s="26"/>
      <c r="Q499" s="26"/>
      <c r="R499" s="26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>
      <c r="A500" s="39"/>
      <c r="B500" s="46"/>
      <c r="C500" s="46"/>
      <c r="D500" s="39"/>
      <c r="E500" s="39"/>
      <c r="F500" s="42"/>
      <c r="G500" s="42"/>
      <c r="H500" s="42"/>
      <c r="I500" s="42"/>
      <c r="J500" s="39"/>
      <c r="K500" s="42"/>
      <c r="L500" s="47"/>
      <c r="M500" s="43"/>
      <c r="N500" s="44"/>
      <c r="O500" s="29"/>
      <c r="P500" s="26"/>
      <c r="Q500" s="26"/>
      <c r="R500" s="26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>
      <c r="A501" s="39"/>
      <c r="B501" s="46"/>
      <c r="C501" s="46"/>
      <c r="D501" s="39"/>
      <c r="E501" s="39"/>
      <c r="F501" s="42"/>
      <c r="G501" s="42"/>
      <c r="H501" s="42"/>
      <c r="I501" s="42"/>
      <c r="J501" s="39"/>
      <c r="K501" s="42"/>
      <c r="L501" s="47"/>
      <c r="M501" s="43"/>
      <c r="N501" s="44"/>
      <c r="O501" s="29"/>
      <c r="P501" s="26"/>
      <c r="Q501" s="26"/>
      <c r="R501" s="26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>
      <c r="A502" s="39"/>
      <c r="B502" s="46"/>
      <c r="C502" s="46"/>
      <c r="D502" s="39"/>
      <c r="E502" s="39"/>
      <c r="F502" s="42"/>
      <c r="G502" s="42"/>
      <c r="H502" s="42"/>
      <c r="I502" s="42"/>
      <c r="J502" s="39"/>
      <c r="K502" s="42"/>
      <c r="L502" s="47"/>
      <c r="M502" s="43"/>
      <c r="N502" s="44"/>
      <c r="O502" s="29"/>
      <c r="P502" s="26"/>
      <c r="Q502" s="26"/>
      <c r="R502" s="26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>
      <c r="A503" s="39"/>
      <c r="B503" s="46"/>
      <c r="C503" s="46"/>
      <c r="D503" s="39"/>
      <c r="E503" s="39"/>
      <c r="F503" s="42"/>
      <c r="G503" s="42"/>
      <c r="H503" s="42"/>
      <c r="I503" s="42"/>
      <c r="J503" s="39"/>
      <c r="K503" s="42"/>
      <c r="L503" s="47"/>
      <c r="M503" s="43"/>
      <c r="N503" s="44"/>
      <c r="O503" s="29"/>
      <c r="P503" s="26"/>
      <c r="Q503" s="26"/>
      <c r="R503" s="26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>
      <c r="A504" s="39"/>
      <c r="B504" s="46"/>
      <c r="C504" s="46"/>
      <c r="D504" s="39"/>
      <c r="E504" s="39"/>
      <c r="F504" s="42"/>
      <c r="G504" s="42"/>
      <c r="H504" s="42"/>
      <c r="I504" s="42"/>
      <c r="J504" s="39"/>
      <c r="K504" s="42"/>
      <c r="L504" s="47"/>
      <c r="M504" s="43"/>
      <c r="N504" s="44"/>
      <c r="O504" s="29"/>
      <c r="P504" s="26"/>
      <c r="Q504" s="26"/>
      <c r="R504" s="26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>
      <c r="A505" s="39"/>
      <c r="B505" s="46"/>
      <c r="C505" s="46"/>
      <c r="D505" s="39"/>
      <c r="E505" s="39"/>
      <c r="F505" s="42"/>
      <c r="G505" s="42"/>
      <c r="H505" s="42"/>
      <c r="I505" s="42"/>
      <c r="J505" s="39"/>
      <c r="K505" s="42"/>
      <c r="L505" s="47"/>
      <c r="M505" s="43"/>
      <c r="N505" s="44"/>
      <c r="O505" s="29"/>
      <c r="P505" s="26"/>
      <c r="Q505" s="26"/>
      <c r="R505" s="26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>
      <c r="A506" s="39"/>
      <c r="B506" s="46"/>
      <c r="C506" s="46"/>
      <c r="D506" s="39"/>
      <c r="E506" s="39"/>
      <c r="F506" s="42"/>
      <c r="G506" s="42"/>
      <c r="H506" s="42"/>
      <c r="I506" s="42"/>
      <c r="J506" s="39"/>
      <c r="K506" s="42"/>
      <c r="L506" s="47"/>
      <c r="M506" s="43"/>
      <c r="N506" s="44"/>
      <c r="O506" s="29"/>
      <c r="P506" s="26"/>
      <c r="Q506" s="26"/>
      <c r="R506" s="26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>
      <c r="A507" s="39"/>
      <c r="B507" s="46"/>
      <c r="C507" s="46"/>
      <c r="D507" s="39"/>
      <c r="E507" s="39"/>
      <c r="F507" s="42"/>
      <c r="G507" s="42"/>
      <c r="H507" s="42"/>
      <c r="I507" s="42"/>
      <c r="J507" s="39"/>
      <c r="K507" s="42"/>
      <c r="L507" s="47"/>
      <c r="M507" s="43"/>
      <c r="N507" s="44"/>
      <c r="O507" s="29"/>
      <c r="P507" s="26"/>
      <c r="Q507" s="26"/>
      <c r="R507" s="26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>
      <c r="A508" s="39"/>
      <c r="B508" s="46"/>
      <c r="C508" s="46"/>
      <c r="D508" s="39"/>
      <c r="E508" s="39"/>
      <c r="F508" s="42"/>
      <c r="G508" s="42"/>
      <c r="H508" s="42"/>
      <c r="I508" s="42"/>
      <c r="J508" s="39"/>
      <c r="K508" s="42"/>
      <c r="L508" s="47"/>
      <c r="M508" s="43"/>
      <c r="N508" s="44"/>
      <c r="O508" s="29"/>
      <c r="P508" s="26"/>
      <c r="Q508" s="26"/>
      <c r="R508" s="26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>
      <c r="A509" s="39"/>
      <c r="B509" s="46"/>
      <c r="C509" s="46"/>
      <c r="D509" s="39"/>
      <c r="E509" s="39"/>
      <c r="F509" s="42"/>
      <c r="G509" s="42"/>
      <c r="H509" s="42"/>
      <c r="I509" s="42"/>
      <c r="J509" s="39"/>
      <c r="K509" s="42"/>
      <c r="L509" s="47"/>
      <c r="M509" s="43"/>
      <c r="N509" s="44"/>
      <c r="O509" s="29"/>
      <c r="P509" s="26"/>
      <c r="Q509" s="26"/>
      <c r="R509" s="26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>
      <c r="A510" s="39"/>
      <c r="B510" s="46"/>
      <c r="C510" s="46"/>
      <c r="D510" s="39"/>
      <c r="E510" s="39"/>
      <c r="F510" s="42"/>
      <c r="G510" s="42"/>
      <c r="H510" s="42"/>
      <c r="I510" s="42"/>
      <c r="J510" s="39"/>
      <c r="K510" s="42"/>
      <c r="L510" s="47"/>
      <c r="M510" s="43"/>
      <c r="N510" s="44"/>
      <c r="O510" s="29"/>
      <c r="P510" s="26"/>
      <c r="Q510" s="26"/>
      <c r="R510" s="26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>
      <c r="A511" s="39"/>
      <c r="B511" s="46"/>
      <c r="C511" s="46"/>
      <c r="D511" s="39"/>
      <c r="E511" s="39"/>
      <c r="F511" s="42"/>
      <c r="G511" s="42"/>
      <c r="H511" s="42"/>
      <c r="I511" s="42"/>
      <c r="J511" s="39"/>
      <c r="K511" s="42"/>
      <c r="L511" s="47"/>
      <c r="M511" s="43"/>
      <c r="N511" s="44"/>
      <c r="O511" s="29"/>
      <c r="P511" s="26"/>
      <c r="Q511" s="26"/>
      <c r="R511" s="26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>
      <c r="A512" s="39"/>
      <c r="B512" s="46"/>
      <c r="C512" s="46"/>
      <c r="D512" s="39"/>
      <c r="E512" s="39"/>
      <c r="F512" s="42"/>
      <c r="G512" s="42"/>
      <c r="H512" s="42"/>
      <c r="I512" s="42"/>
      <c r="J512" s="39"/>
      <c r="K512" s="42"/>
      <c r="L512" s="47"/>
      <c r="M512" s="43"/>
      <c r="N512" s="44"/>
      <c r="O512" s="29"/>
      <c r="P512" s="26"/>
      <c r="Q512" s="26"/>
      <c r="R512" s="26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>
      <c r="A513" s="39"/>
      <c r="B513" s="46"/>
      <c r="C513" s="46"/>
      <c r="D513" s="39"/>
      <c r="E513" s="39"/>
      <c r="F513" s="42"/>
      <c r="G513" s="42"/>
      <c r="H513" s="42"/>
      <c r="I513" s="42"/>
      <c r="J513" s="39"/>
      <c r="K513" s="42"/>
      <c r="L513" s="47"/>
      <c r="M513" s="43"/>
      <c r="N513" s="44"/>
      <c r="O513" s="29"/>
      <c r="P513" s="26"/>
      <c r="Q513" s="26"/>
      <c r="R513" s="26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>
      <c r="A514" s="39"/>
      <c r="B514" s="46"/>
      <c r="C514" s="46"/>
      <c r="D514" s="39"/>
      <c r="E514" s="39"/>
      <c r="F514" s="42"/>
      <c r="G514" s="42"/>
      <c r="H514" s="42"/>
      <c r="I514" s="42"/>
      <c r="J514" s="39"/>
      <c r="K514" s="42"/>
      <c r="L514" s="47"/>
      <c r="M514" s="43"/>
      <c r="N514" s="44"/>
      <c r="O514" s="29"/>
      <c r="P514" s="26"/>
      <c r="Q514" s="26"/>
      <c r="R514" s="26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>
      <c r="A515" s="39"/>
      <c r="B515" s="46"/>
      <c r="C515" s="46"/>
      <c r="D515" s="39"/>
      <c r="E515" s="39"/>
      <c r="F515" s="42"/>
      <c r="G515" s="42"/>
      <c r="H515" s="42"/>
      <c r="I515" s="42"/>
      <c r="J515" s="39"/>
      <c r="K515" s="42"/>
      <c r="L515" s="47"/>
      <c r="M515" s="43"/>
      <c r="N515" s="44"/>
      <c r="O515" s="29"/>
      <c r="P515" s="26"/>
      <c r="Q515" s="26"/>
      <c r="R515" s="26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>
      <c r="A516" s="39"/>
      <c r="B516" s="46"/>
      <c r="C516" s="46"/>
      <c r="D516" s="39"/>
      <c r="E516" s="39"/>
      <c r="F516" s="42"/>
      <c r="G516" s="42"/>
      <c r="H516" s="42"/>
      <c r="I516" s="42"/>
      <c r="J516" s="39"/>
      <c r="K516" s="42"/>
      <c r="L516" s="47"/>
      <c r="M516" s="43"/>
      <c r="N516" s="44"/>
      <c r="O516" s="29"/>
      <c r="P516" s="26"/>
      <c r="Q516" s="26"/>
      <c r="R516" s="26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>
      <c r="A517" s="39"/>
      <c r="B517" s="46"/>
      <c r="C517" s="46"/>
      <c r="D517" s="39"/>
      <c r="E517" s="39"/>
      <c r="F517" s="42"/>
      <c r="G517" s="42"/>
      <c r="H517" s="42"/>
      <c r="I517" s="42"/>
      <c r="J517" s="39"/>
      <c r="K517" s="42"/>
      <c r="L517" s="47"/>
      <c r="M517" s="43"/>
      <c r="N517" s="44"/>
      <c r="O517" s="29"/>
      <c r="P517" s="26"/>
      <c r="Q517" s="26"/>
      <c r="R517" s="26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>
      <c r="A518" s="39"/>
      <c r="B518" s="46"/>
      <c r="C518" s="46"/>
      <c r="D518" s="39"/>
      <c r="E518" s="39"/>
      <c r="F518" s="42"/>
      <c r="G518" s="42"/>
      <c r="H518" s="42"/>
      <c r="I518" s="42"/>
      <c r="J518" s="39"/>
      <c r="K518" s="42"/>
      <c r="L518" s="47"/>
      <c r="M518" s="43"/>
      <c r="N518" s="44"/>
      <c r="O518" s="29"/>
      <c r="P518" s="26"/>
      <c r="Q518" s="26"/>
      <c r="R518" s="26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>
      <c r="A519" s="39"/>
      <c r="B519" s="46"/>
      <c r="C519" s="46"/>
      <c r="D519" s="39"/>
      <c r="E519" s="39"/>
      <c r="F519" s="42"/>
      <c r="G519" s="42"/>
      <c r="H519" s="42"/>
      <c r="I519" s="42"/>
      <c r="J519" s="39"/>
      <c r="K519" s="42"/>
      <c r="L519" s="47"/>
      <c r="M519" s="43"/>
      <c r="N519" s="44"/>
      <c r="O519" s="29"/>
      <c r="P519" s="26"/>
      <c r="Q519" s="26"/>
      <c r="R519" s="26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>
      <c r="A520" s="39"/>
      <c r="B520" s="46"/>
      <c r="C520" s="46"/>
      <c r="D520" s="39"/>
      <c r="E520" s="39"/>
      <c r="F520" s="42"/>
      <c r="G520" s="42"/>
      <c r="H520" s="42"/>
      <c r="I520" s="42"/>
      <c r="J520" s="39"/>
      <c r="K520" s="42"/>
      <c r="L520" s="47"/>
      <c r="M520" s="43"/>
      <c r="N520" s="44"/>
      <c r="O520" s="29"/>
      <c r="P520" s="26"/>
      <c r="Q520" s="26"/>
      <c r="R520" s="26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>
      <c r="A521" s="39"/>
      <c r="B521" s="46"/>
      <c r="C521" s="46"/>
      <c r="D521" s="39"/>
      <c r="E521" s="39"/>
      <c r="F521" s="42"/>
      <c r="G521" s="42"/>
      <c r="H521" s="42"/>
      <c r="I521" s="42"/>
      <c r="J521" s="39"/>
      <c r="K521" s="42"/>
      <c r="L521" s="47"/>
      <c r="M521" s="43"/>
      <c r="N521" s="44"/>
      <c r="O521" s="29"/>
      <c r="P521" s="26"/>
      <c r="Q521" s="26"/>
      <c r="R521" s="26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>
      <c r="A522" s="39"/>
      <c r="B522" s="46"/>
      <c r="C522" s="46"/>
      <c r="D522" s="39"/>
      <c r="E522" s="39"/>
      <c r="F522" s="42"/>
      <c r="G522" s="42"/>
      <c r="H522" s="42"/>
      <c r="I522" s="42"/>
      <c r="J522" s="39"/>
      <c r="K522" s="42"/>
      <c r="L522" s="47"/>
      <c r="M522" s="43"/>
      <c r="N522" s="44"/>
      <c r="O522" s="29"/>
      <c r="P522" s="26"/>
      <c r="Q522" s="26"/>
      <c r="R522" s="26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>
      <c r="A523" s="39"/>
      <c r="B523" s="46"/>
      <c r="C523" s="46"/>
      <c r="D523" s="39"/>
      <c r="E523" s="39"/>
      <c r="F523" s="42"/>
      <c r="G523" s="42"/>
      <c r="H523" s="42"/>
      <c r="I523" s="42"/>
      <c r="J523" s="39"/>
      <c r="K523" s="42"/>
      <c r="L523" s="47"/>
      <c r="M523" s="43"/>
      <c r="N523" s="44"/>
      <c r="O523" s="29"/>
      <c r="P523" s="26"/>
      <c r="Q523" s="26"/>
      <c r="R523" s="26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>
      <c r="A524" s="39"/>
      <c r="B524" s="46"/>
      <c r="C524" s="46"/>
      <c r="D524" s="39"/>
      <c r="E524" s="39"/>
      <c r="F524" s="42"/>
      <c r="G524" s="42"/>
      <c r="H524" s="42"/>
      <c r="I524" s="42"/>
      <c r="J524" s="39"/>
      <c r="K524" s="42"/>
      <c r="L524" s="47"/>
      <c r="M524" s="43"/>
      <c r="N524" s="44"/>
      <c r="O524" s="29"/>
      <c r="P524" s="26"/>
      <c r="Q524" s="26"/>
      <c r="R524" s="26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>
      <c r="A525" s="39"/>
      <c r="B525" s="46"/>
      <c r="C525" s="46"/>
      <c r="D525" s="39"/>
      <c r="E525" s="39"/>
      <c r="F525" s="42"/>
      <c r="G525" s="42"/>
      <c r="H525" s="42"/>
      <c r="I525" s="42"/>
      <c r="J525" s="39"/>
      <c r="K525" s="42"/>
      <c r="L525" s="47"/>
      <c r="M525" s="43"/>
      <c r="N525" s="44"/>
      <c r="O525" s="29"/>
      <c r="P525" s="26"/>
      <c r="Q525" s="26"/>
      <c r="R525" s="26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>
      <c r="A526" s="39"/>
      <c r="B526" s="46"/>
      <c r="C526" s="46"/>
      <c r="D526" s="39"/>
      <c r="E526" s="39"/>
      <c r="F526" s="42"/>
      <c r="G526" s="42"/>
      <c r="H526" s="42"/>
      <c r="I526" s="42"/>
      <c r="J526" s="39"/>
      <c r="K526" s="42"/>
      <c r="L526" s="47"/>
      <c r="M526" s="43"/>
      <c r="N526" s="44"/>
      <c r="O526" s="29"/>
      <c r="P526" s="26"/>
      <c r="Q526" s="26"/>
      <c r="R526" s="26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>
      <c r="A527" s="39"/>
      <c r="B527" s="46"/>
      <c r="C527" s="46"/>
      <c r="D527" s="39"/>
      <c r="E527" s="39"/>
      <c r="F527" s="42"/>
      <c r="G527" s="42"/>
      <c r="H527" s="42"/>
      <c r="I527" s="42"/>
      <c r="J527" s="39"/>
      <c r="K527" s="42"/>
      <c r="L527" s="47"/>
      <c r="M527" s="43"/>
      <c r="N527" s="44"/>
      <c r="O527" s="29"/>
      <c r="P527" s="26"/>
      <c r="Q527" s="26"/>
      <c r="R527" s="26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>
      <c r="A528" s="39"/>
      <c r="B528" s="46"/>
      <c r="C528" s="46"/>
      <c r="D528" s="39"/>
      <c r="E528" s="39"/>
      <c r="F528" s="42"/>
      <c r="G528" s="42"/>
      <c r="H528" s="42"/>
      <c r="I528" s="42"/>
      <c r="J528" s="39"/>
      <c r="K528" s="42"/>
      <c r="L528" s="47"/>
      <c r="M528" s="43"/>
      <c r="N528" s="44"/>
      <c r="O528" s="29"/>
      <c r="P528" s="26"/>
      <c r="Q528" s="26"/>
      <c r="R528" s="26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>
      <c r="A529" s="39"/>
      <c r="B529" s="46"/>
      <c r="C529" s="46"/>
      <c r="D529" s="39"/>
      <c r="E529" s="39"/>
      <c r="F529" s="42"/>
      <c r="G529" s="42"/>
      <c r="H529" s="42"/>
      <c r="I529" s="42"/>
      <c r="J529" s="39"/>
      <c r="K529" s="42"/>
      <c r="L529" s="47"/>
      <c r="M529" s="43"/>
      <c r="N529" s="44"/>
      <c r="O529" s="29"/>
      <c r="P529" s="26"/>
      <c r="Q529" s="26"/>
      <c r="R529" s="26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>
      <c r="A530" s="39"/>
      <c r="B530" s="46"/>
      <c r="C530" s="46"/>
      <c r="D530" s="39"/>
      <c r="E530" s="39"/>
      <c r="F530" s="42"/>
      <c r="G530" s="42"/>
      <c r="H530" s="42"/>
      <c r="I530" s="42"/>
      <c r="J530" s="39"/>
      <c r="K530" s="42"/>
      <c r="L530" s="47"/>
      <c r="M530" s="43"/>
      <c r="N530" s="44"/>
      <c r="O530" s="29"/>
      <c r="P530" s="26"/>
      <c r="Q530" s="26"/>
      <c r="R530" s="26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>
      <c r="A531" s="39"/>
      <c r="B531" s="46"/>
      <c r="C531" s="46"/>
      <c r="D531" s="39"/>
      <c r="E531" s="39"/>
      <c r="F531" s="42"/>
      <c r="G531" s="42"/>
      <c r="H531" s="42"/>
      <c r="I531" s="42"/>
      <c r="J531" s="39"/>
      <c r="K531" s="42"/>
      <c r="L531" s="47"/>
      <c r="M531" s="43"/>
      <c r="N531" s="44"/>
      <c r="O531" s="29"/>
      <c r="P531" s="26"/>
      <c r="Q531" s="26"/>
      <c r="R531" s="26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>
      <c r="A532" s="39"/>
      <c r="B532" s="46"/>
      <c r="C532" s="46"/>
      <c r="D532" s="39"/>
      <c r="E532" s="39"/>
      <c r="F532" s="42"/>
      <c r="G532" s="42"/>
      <c r="H532" s="42"/>
      <c r="I532" s="42"/>
      <c r="J532" s="39"/>
      <c r="K532" s="42"/>
      <c r="L532" s="47"/>
      <c r="M532" s="43"/>
      <c r="N532" s="44"/>
      <c r="O532" s="29"/>
      <c r="P532" s="26"/>
      <c r="Q532" s="26"/>
      <c r="R532" s="26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>
      <c r="A533" s="39"/>
      <c r="B533" s="46"/>
      <c r="C533" s="46"/>
      <c r="D533" s="39"/>
      <c r="E533" s="39"/>
      <c r="F533" s="42"/>
      <c r="G533" s="42"/>
      <c r="H533" s="42"/>
      <c r="I533" s="42"/>
      <c r="J533" s="39"/>
      <c r="K533" s="42"/>
      <c r="L533" s="47"/>
      <c r="M533" s="43"/>
      <c r="N533" s="44"/>
      <c r="O533" s="29"/>
      <c r="P533" s="26"/>
      <c r="Q533" s="26"/>
      <c r="R533" s="26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>
      <c r="A534" s="39"/>
      <c r="B534" s="46"/>
      <c r="C534" s="46"/>
      <c r="D534" s="39"/>
      <c r="E534" s="39"/>
      <c r="F534" s="42"/>
      <c r="G534" s="42"/>
      <c r="H534" s="42"/>
      <c r="I534" s="42"/>
      <c r="J534" s="39"/>
      <c r="K534" s="42"/>
      <c r="L534" s="47"/>
      <c r="M534" s="43"/>
      <c r="N534" s="44"/>
      <c r="O534" s="29"/>
      <c r="P534" s="26"/>
      <c r="Q534" s="26"/>
      <c r="R534" s="26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>
      <c r="A535" s="39"/>
      <c r="B535" s="46"/>
      <c r="C535" s="46"/>
      <c r="D535" s="39"/>
      <c r="E535" s="39"/>
      <c r="F535" s="42"/>
      <c r="G535" s="42"/>
      <c r="H535" s="42"/>
      <c r="I535" s="42"/>
      <c r="J535" s="39"/>
      <c r="K535" s="42"/>
      <c r="L535" s="47"/>
      <c r="M535" s="43"/>
      <c r="N535" s="44"/>
      <c r="O535" s="29"/>
      <c r="P535" s="26"/>
      <c r="Q535" s="26"/>
      <c r="R535" s="26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>
      <c r="A536" s="39"/>
      <c r="B536" s="46"/>
      <c r="C536" s="46"/>
      <c r="D536" s="39"/>
      <c r="E536" s="39"/>
      <c r="F536" s="42"/>
      <c r="G536" s="42"/>
      <c r="H536" s="42"/>
      <c r="I536" s="42"/>
      <c r="J536" s="39"/>
      <c r="K536" s="42"/>
      <c r="L536" s="47"/>
      <c r="M536" s="43"/>
      <c r="N536" s="44"/>
      <c r="O536" s="29"/>
      <c r="P536" s="26"/>
      <c r="Q536" s="26"/>
      <c r="R536" s="26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>
      <c r="A537" s="39"/>
      <c r="B537" s="46"/>
      <c r="C537" s="46"/>
      <c r="D537" s="39"/>
      <c r="E537" s="39"/>
      <c r="F537" s="42"/>
      <c r="G537" s="42"/>
      <c r="H537" s="42"/>
      <c r="I537" s="42"/>
      <c r="J537" s="39"/>
      <c r="K537" s="42"/>
      <c r="L537" s="47"/>
      <c r="M537" s="43"/>
      <c r="N537" s="44"/>
      <c r="O537" s="29"/>
      <c r="P537" s="26"/>
      <c r="Q537" s="26"/>
      <c r="R537" s="26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>
      <c r="A538" s="39"/>
      <c r="B538" s="46"/>
      <c r="C538" s="46"/>
      <c r="D538" s="39"/>
      <c r="E538" s="39"/>
      <c r="F538" s="42"/>
      <c r="G538" s="42"/>
      <c r="H538" s="42"/>
      <c r="I538" s="42"/>
      <c r="J538" s="39"/>
      <c r="K538" s="42"/>
      <c r="L538" s="47"/>
      <c r="M538" s="43"/>
      <c r="N538" s="44"/>
      <c r="O538" s="29"/>
      <c r="P538" s="26"/>
      <c r="Q538" s="26"/>
      <c r="R538" s="26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>
      <c r="A539" s="39"/>
      <c r="B539" s="46"/>
      <c r="C539" s="46"/>
      <c r="D539" s="39"/>
      <c r="E539" s="39"/>
      <c r="F539" s="42"/>
      <c r="G539" s="42"/>
      <c r="H539" s="42"/>
      <c r="I539" s="42"/>
      <c r="J539" s="39"/>
      <c r="K539" s="42"/>
      <c r="L539" s="47"/>
      <c r="M539" s="43"/>
      <c r="N539" s="44"/>
      <c r="O539" s="29"/>
      <c r="P539" s="26"/>
      <c r="Q539" s="26"/>
      <c r="R539" s="26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>
      <c r="A540" s="39"/>
      <c r="B540" s="46"/>
      <c r="C540" s="46"/>
      <c r="D540" s="39"/>
      <c r="E540" s="39"/>
      <c r="F540" s="42"/>
      <c r="G540" s="42"/>
      <c r="H540" s="42"/>
      <c r="I540" s="42"/>
      <c r="J540" s="39"/>
      <c r="K540" s="42"/>
      <c r="L540" s="47"/>
      <c r="M540" s="43"/>
      <c r="N540" s="44"/>
      <c r="O540" s="29"/>
      <c r="P540" s="26"/>
      <c r="Q540" s="26"/>
      <c r="R540" s="26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>
      <c r="A541" s="39"/>
      <c r="B541" s="46"/>
      <c r="C541" s="46"/>
      <c r="D541" s="39"/>
      <c r="E541" s="39"/>
      <c r="F541" s="42"/>
      <c r="G541" s="42"/>
      <c r="H541" s="42"/>
      <c r="I541" s="42"/>
      <c r="J541" s="39"/>
      <c r="K541" s="42"/>
      <c r="L541" s="47"/>
      <c r="M541" s="43"/>
      <c r="N541" s="44"/>
      <c r="O541" s="29"/>
      <c r="P541" s="26"/>
      <c r="Q541" s="26"/>
      <c r="R541" s="26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>
      <c r="A542" s="39"/>
      <c r="B542" s="46"/>
      <c r="C542" s="46"/>
      <c r="D542" s="39"/>
      <c r="E542" s="39"/>
      <c r="F542" s="42"/>
      <c r="G542" s="42"/>
      <c r="H542" s="42"/>
      <c r="I542" s="42"/>
      <c r="J542" s="39"/>
      <c r="K542" s="42"/>
      <c r="L542" s="47"/>
      <c r="M542" s="43"/>
      <c r="N542" s="44"/>
      <c r="O542" s="29"/>
      <c r="P542" s="26"/>
      <c r="Q542" s="26"/>
      <c r="R542" s="26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>
      <c r="A543" s="39"/>
      <c r="B543" s="46"/>
      <c r="C543" s="46"/>
      <c r="D543" s="39"/>
      <c r="E543" s="39"/>
      <c r="F543" s="42"/>
      <c r="G543" s="42"/>
      <c r="H543" s="42"/>
      <c r="I543" s="42"/>
      <c r="J543" s="39"/>
      <c r="K543" s="42"/>
      <c r="L543" s="47"/>
      <c r="M543" s="43"/>
      <c r="N543" s="44"/>
      <c r="O543" s="29"/>
      <c r="P543" s="26"/>
      <c r="Q543" s="26"/>
      <c r="R543" s="26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>
      <c r="A544" s="39"/>
      <c r="B544" s="46"/>
      <c r="C544" s="46"/>
      <c r="D544" s="39"/>
      <c r="E544" s="39"/>
      <c r="F544" s="42"/>
      <c r="G544" s="42"/>
      <c r="H544" s="42"/>
      <c r="I544" s="42"/>
      <c r="J544" s="39"/>
      <c r="K544" s="42"/>
      <c r="L544" s="47"/>
      <c r="M544" s="43"/>
      <c r="N544" s="44"/>
      <c r="O544" s="29"/>
      <c r="P544" s="26"/>
      <c r="Q544" s="26"/>
      <c r="R544" s="26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>
      <c r="A545" s="39"/>
      <c r="B545" s="46"/>
      <c r="C545" s="46"/>
      <c r="D545" s="39"/>
      <c r="E545" s="39"/>
      <c r="F545" s="42"/>
      <c r="G545" s="42"/>
      <c r="H545" s="42"/>
      <c r="I545" s="42"/>
      <c r="J545" s="39"/>
      <c r="K545" s="42"/>
      <c r="L545" s="47"/>
      <c r="M545" s="43"/>
      <c r="N545" s="44"/>
      <c r="O545" s="29"/>
      <c r="P545" s="26"/>
      <c r="Q545" s="26"/>
      <c r="R545" s="26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>
      <c r="A546" s="39"/>
      <c r="B546" s="46"/>
      <c r="C546" s="46"/>
      <c r="D546" s="39"/>
      <c r="E546" s="39"/>
      <c r="F546" s="42"/>
      <c r="G546" s="42"/>
      <c r="H546" s="42"/>
      <c r="I546" s="42"/>
      <c r="J546" s="39"/>
      <c r="K546" s="42"/>
      <c r="L546" s="47"/>
      <c r="M546" s="43"/>
      <c r="N546" s="44"/>
      <c r="O546" s="29"/>
      <c r="P546" s="26"/>
      <c r="Q546" s="26"/>
      <c r="R546" s="26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>
      <c r="A547" s="39"/>
      <c r="B547" s="46"/>
      <c r="C547" s="46"/>
      <c r="D547" s="39"/>
      <c r="E547" s="39"/>
      <c r="F547" s="42"/>
      <c r="G547" s="42"/>
      <c r="H547" s="42"/>
      <c r="I547" s="42"/>
      <c r="J547" s="39"/>
      <c r="K547" s="42"/>
      <c r="L547" s="47"/>
      <c r="M547" s="43"/>
      <c r="N547" s="44"/>
      <c r="O547" s="29"/>
      <c r="P547" s="26"/>
      <c r="Q547" s="26"/>
      <c r="R547" s="26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>
      <c r="A548" s="39"/>
      <c r="B548" s="46"/>
      <c r="C548" s="46"/>
      <c r="D548" s="39"/>
      <c r="E548" s="39"/>
      <c r="F548" s="42"/>
      <c r="G548" s="42"/>
      <c r="H548" s="42"/>
      <c r="I548" s="42"/>
      <c r="J548" s="39"/>
      <c r="K548" s="42"/>
      <c r="L548" s="47"/>
      <c r="M548" s="43"/>
      <c r="N548" s="44"/>
      <c r="O548" s="29"/>
      <c r="P548" s="26"/>
      <c r="Q548" s="26"/>
      <c r="R548" s="26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>
      <c r="A549" s="39"/>
      <c r="B549" s="46"/>
      <c r="C549" s="46"/>
      <c r="D549" s="39"/>
      <c r="E549" s="39"/>
      <c r="F549" s="42"/>
      <c r="G549" s="42"/>
      <c r="H549" s="42"/>
      <c r="I549" s="42"/>
      <c r="J549" s="39"/>
      <c r="K549" s="42"/>
      <c r="L549" s="47"/>
      <c r="M549" s="43"/>
      <c r="N549" s="44"/>
      <c r="O549" s="29"/>
      <c r="P549" s="26"/>
      <c r="Q549" s="26"/>
      <c r="R549" s="26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>
      <c r="A550" s="39"/>
      <c r="B550" s="46"/>
      <c r="C550" s="46"/>
      <c r="D550" s="39"/>
      <c r="E550" s="39"/>
      <c r="F550" s="42"/>
      <c r="G550" s="42"/>
      <c r="H550" s="42"/>
      <c r="I550" s="42"/>
      <c r="J550" s="39"/>
      <c r="K550" s="42"/>
      <c r="L550" s="47"/>
      <c r="M550" s="43"/>
      <c r="N550" s="44"/>
      <c r="O550" s="29"/>
      <c r="P550" s="26"/>
      <c r="Q550" s="26"/>
      <c r="R550" s="26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>
      <c r="A551" s="39"/>
      <c r="B551" s="46"/>
      <c r="C551" s="46"/>
      <c r="D551" s="39"/>
      <c r="E551" s="39"/>
      <c r="F551" s="42"/>
      <c r="G551" s="42"/>
      <c r="H551" s="42"/>
      <c r="I551" s="42"/>
      <c r="J551" s="39"/>
      <c r="K551" s="42"/>
      <c r="L551" s="47"/>
      <c r="M551" s="43"/>
      <c r="N551" s="44"/>
      <c r="O551" s="29"/>
      <c r="P551" s="26"/>
      <c r="Q551" s="26"/>
      <c r="R551" s="26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>
      <c r="A552" s="39"/>
      <c r="B552" s="46"/>
      <c r="C552" s="46"/>
      <c r="D552" s="39"/>
      <c r="E552" s="39"/>
      <c r="F552" s="42"/>
      <c r="G552" s="42"/>
      <c r="H552" s="42"/>
      <c r="I552" s="42"/>
      <c r="J552" s="39"/>
      <c r="K552" s="42"/>
      <c r="L552" s="47"/>
      <c r="M552" s="43"/>
      <c r="N552" s="44"/>
      <c r="O552" s="29"/>
      <c r="P552" s="26"/>
      <c r="Q552" s="26"/>
      <c r="R552" s="26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>
      <c r="A553" s="39"/>
      <c r="B553" s="46"/>
      <c r="C553" s="46"/>
      <c r="D553" s="39"/>
      <c r="E553" s="39"/>
      <c r="F553" s="42"/>
      <c r="G553" s="42"/>
      <c r="H553" s="42"/>
      <c r="I553" s="42"/>
      <c r="J553" s="39"/>
      <c r="K553" s="42"/>
      <c r="L553" s="47"/>
      <c r="M553" s="43"/>
      <c r="N553" s="44"/>
      <c r="O553" s="29"/>
      <c r="P553" s="26"/>
      <c r="Q553" s="26"/>
      <c r="R553" s="26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>
      <c r="A554" s="39"/>
      <c r="B554" s="46"/>
      <c r="C554" s="46"/>
      <c r="D554" s="39"/>
      <c r="E554" s="39"/>
      <c r="F554" s="42"/>
      <c r="G554" s="42"/>
      <c r="H554" s="42"/>
      <c r="I554" s="42"/>
      <c r="J554" s="39"/>
      <c r="K554" s="42"/>
      <c r="L554" s="47"/>
      <c r="M554" s="43"/>
      <c r="N554" s="44"/>
      <c r="O554" s="29"/>
      <c r="P554" s="26"/>
      <c r="Q554" s="26"/>
      <c r="R554" s="26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>
      <c r="A555" s="39"/>
      <c r="B555" s="46"/>
      <c r="C555" s="46"/>
      <c r="D555" s="39"/>
      <c r="E555" s="39"/>
      <c r="F555" s="42"/>
      <c r="G555" s="42"/>
      <c r="H555" s="42"/>
      <c r="I555" s="42"/>
      <c r="J555" s="39"/>
      <c r="K555" s="42"/>
      <c r="L555" s="47"/>
      <c r="M555" s="43"/>
      <c r="N555" s="44"/>
      <c r="O555" s="29"/>
      <c r="P555" s="26"/>
      <c r="Q555" s="26"/>
      <c r="R555" s="26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>
      <c r="A556" s="39"/>
      <c r="B556" s="46"/>
      <c r="C556" s="46"/>
      <c r="D556" s="39"/>
      <c r="E556" s="39"/>
      <c r="F556" s="42"/>
      <c r="G556" s="42"/>
      <c r="H556" s="42"/>
      <c r="I556" s="42"/>
      <c r="J556" s="39"/>
      <c r="K556" s="42"/>
      <c r="L556" s="47"/>
      <c r="M556" s="43"/>
      <c r="N556" s="44"/>
      <c r="O556" s="29"/>
      <c r="P556" s="26"/>
      <c r="Q556" s="26"/>
      <c r="R556" s="26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>
      <c r="A557" s="39"/>
      <c r="B557" s="46"/>
      <c r="C557" s="46"/>
      <c r="D557" s="39"/>
      <c r="E557" s="39"/>
      <c r="F557" s="42"/>
      <c r="G557" s="42"/>
      <c r="H557" s="42"/>
      <c r="I557" s="42"/>
      <c r="J557" s="39"/>
      <c r="K557" s="42"/>
      <c r="L557" s="47"/>
      <c r="M557" s="43"/>
      <c r="N557" s="44"/>
      <c r="O557" s="29"/>
      <c r="P557" s="26"/>
      <c r="Q557" s="26"/>
      <c r="R557" s="26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>
      <c r="A558" s="39"/>
      <c r="B558" s="46"/>
      <c r="C558" s="46"/>
      <c r="D558" s="39"/>
      <c r="E558" s="39"/>
      <c r="F558" s="42"/>
      <c r="G558" s="42"/>
      <c r="H558" s="42"/>
      <c r="I558" s="42"/>
      <c r="J558" s="39"/>
      <c r="K558" s="42"/>
      <c r="L558" s="47"/>
      <c r="M558" s="43"/>
      <c r="N558" s="44"/>
      <c r="O558" s="29"/>
      <c r="P558" s="26"/>
      <c r="Q558" s="26"/>
      <c r="R558" s="26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>
      <c r="A559" s="39"/>
      <c r="B559" s="46"/>
      <c r="C559" s="46"/>
      <c r="D559" s="39"/>
      <c r="E559" s="39"/>
      <c r="F559" s="42"/>
      <c r="G559" s="42"/>
      <c r="H559" s="42"/>
      <c r="I559" s="42"/>
      <c r="J559" s="39"/>
      <c r="K559" s="42"/>
      <c r="L559" s="47"/>
      <c r="M559" s="43"/>
      <c r="N559" s="44"/>
      <c r="O559" s="29"/>
      <c r="P559" s="26"/>
      <c r="Q559" s="26"/>
      <c r="R559" s="26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>
      <c r="A560" s="39"/>
      <c r="B560" s="46"/>
      <c r="C560" s="46"/>
      <c r="D560" s="39"/>
      <c r="E560" s="39"/>
      <c r="F560" s="42"/>
      <c r="G560" s="42"/>
      <c r="H560" s="42"/>
      <c r="I560" s="42"/>
      <c r="J560" s="39"/>
      <c r="K560" s="42"/>
      <c r="L560" s="47"/>
      <c r="M560" s="43"/>
      <c r="N560" s="44"/>
      <c r="O560" s="29"/>
      <c r="P560" s="26"/>
      <c r="Q560" s="26"/>
      <c r="R560" s="26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>
      <c r="A561" s="39"/>
      <c r="B561" s="46"/>
      <c r="C561" s="46"/>
      <c r="D561" s="39"/>
      <c r="E561" s="39"/>
      <c r="F561" s="42"/>
      <c r="G561" s="42"/>
      <c r="H561" s="42"/>
      <c r="I561" s="42"/>
      <c r="J561" s="39"/>
      <c r="K561" s="42"/>
      <c r="L561" s="47"/>
      <c r="M561" s="43"/>
      <c r="N561" s="44"/>
      <c r="O561" s="29"/>
      <c r="P561" s="26"/>
      <c r="Q561" s="26"/>
      <c r="R561" s="26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>
      <c r="A562" s="39"/>
      <c r="B562" s="46"/>
      <c r="C562" s="46"/>
      <c r="D562" s="39"/>
      <c r="E562" s="39"/>
      <c r="F562" s="42"/>
      <c r="G562" s="42"/>
      <c r="H562" s="42"/>
      <c r="I562" s="42"/>
      <c r="J562" s="39"/>
      <c r="K562" s="42"/>
      <c r="L562" s="47"/>
      <c r="M562" s="43"/>
      <c r="N562" s="44"/>
      <c r="O562" s="29"/>
      <c r="P562" s="26"/>
      <c r="Q562" s="26"/>
      <c r="R562" s="26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>
      <c r="A563" s="39"/>
      <c r="B563" s="46"/>
      <c r="C563" s="46"/>
      <c r="D563" s="39"/>
      <c r="E563" s="39"/>
      <c r="F563" s="42"/>
      <c r="G563" s="42"/>
      <c r="H563" s="42"/>
      <c r="I563" s="42"/>
      <c r="J563" s="39"/>
      <c r="K563" s="42"/>
      <c r="L563" s="47"/>
      <c r="M563" s="43"/>
      <c r="N563" s="44"/>
      <c r="O563" s="29"/>
      <c r="P563" s="26"/>
      <c r="Q563" s="26"/>
      <c r="R563" s="26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>
      <c r="A564" s="39"/>
      <c r="B564" s="46"/>
      <c r="C564" s="46"/>
      <c r="D564" s="39"/>
      <c r="E564" s="39"/>
      <c r="F564" s="42"/>
      <c r="G564" s="42"/>
      <c r="H564" s="42"/>
      <c r="I564" s="42"/>
      <c r="J564" s="39"/>
      <c r="K564" s="42"/>
      <c r="L564" s="47"/>
      <c r="M564" s="43"/>
      <c r="N564" s="44"/>
      <c r="O564" s="29"/>
      <c r="P564" s="26"/>
      <c r="Q564" s="26"/>
      <c r="R564" s="26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>
      <c r="A565" s="39"/>
      <c r="B565" s="46"/>
      <c r="C565" s="46"/>
      <c r="D565" s="39"/>
      <c r="E565" s="39"/>
      <c r="F565" s="42"/>
      <c r="G565" s="42"/>
      <c r="H565" s="42"/>
      <c r="I565" s="42"/>
      <c r="J565" s="39"/>
      <c r="K565" s="42"/>
      <c r="L565" s="47"/>
      <c r="M565" s="43"/>
      <c r="N565" s="44"/>
      <c r="O565" s="29"/>
      <c r="P565" s="26"/>
      <c r="Q565" s="26"/>
      <c r="R565" s="26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>
      <c r="A566" s="39"/>
      <c r="B566" s="46"/>
      <c r="C566" s="46"/>
      <c r="D566" s="39"/>
      <c r="E566" s="39"/>
      <c r="F566" s="42"/>
      <c r="G566" s="42"/>
      <c r="H566" s="42"/>
      <c r="I566" s="42"/>
      <c r="J566" s="39"/>
      <c r="K566" s="42"/>
      <c r="L566" s="47"/>
      <c r="M566" s="43"/>
      <c r="N566" s="44"/>
      <c r="O566" s="29"/>
      <c r="P566" s="26"/>
      <c r="Q566" s="26"/>
      <c r="R566" s="26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>
      <c r="A567" s="39"/>
      <c r="B567" s="46"/>
      <c r="C567" s="46"/>
      <c r="D567" s="39"/>
      <c r="E567" s="39"/>
      <c r="F567" s="42"/>
      <c r="G567" s="42"/>
      <c r="H567" s="42"/>
      <c r="I567" s="42"/>
      <c r="J567" s="39"/>
      <c r="K567" s="42"/>
      <c r="L567" s="47"/>
      <c r="M567" s="43"/>
      <c r="N567" s="44"/>
      <c r="O567" s="29"/>
      <c r="P567" s="26"/>
      <c r="Q567" s="26"/>
      <c r="R567" s="26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>
      <c r="A568" s="39"/>
      <c r="B568" s="46"/>
      <c r="C568" s="46"/>
      <c r="D568" s="39"/>
      <c r="E568" s="39"/>
      <c r="F568" s="42"/>
      <c r="G568" s="42"/>
      <c r="H568" s="42"/>
      <c r="I568" s="42"/>
      <c r="J568" s="39"/>
      <c r="K568" s="42"/>
      <c r="L568" s="47"/>
      <c r="M568" s="43"/>
      <c r="N568" s="44"/>
      <c r="O568" s="29"/>
      <c r="P568" s="26"/>
      <c r="Q568" s="26"/>
      <c r="R568" s="26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>
      <c r="A569" s="39"/>
      <c r="B569" s="46"/>
      <c r="C569" s="46"/>
      <c r="D569" s="39"/>
      <c r="E569" s="39"/>
      <c r="F569" s="42"/>
      <c r="G569" s="42"/>
      <c r="H569" s="42"/>
      <c r="I569" s="42"/>
      <c r="J569" s="39"/>
      <c r="K569" s="42"/>
      <c r="L569" s="47"/>
      <c r="M569" s="43"/>
      <c r="N569" s="44"/>
      <c r="O569" s="29"/>
      <c r="P569" s="26"/>
      <c r="Q569" s="26"/>
      <c r="R569" s="26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>
      <c r="A570" s="39"/>
      <c r="B570" s="46"/>
      <c r="C570" s="46"/>
      <c r="D570" s="39"/>
      <c r="E570" s="39"/>
      <c r="F570" s="42"/>
      <c r="G570" s="42"/>
      <c r="H570" s="42"/>
      <c r="I570" s="42"/>
      <c r="J570" s="39"/>
      <c r="K570" s="42"/>
      <c r="L570" s="47"/>
      <c r="M570" s="43"/>
      <c r="N570" s="44"/>
      <c r="O570" s="29"/>
      <c r="P570" s="26"/>
      <c r="Q570" s="26"/>
      <c r="R570" s="26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>
      <c r="A571" s="39"/>
      <c r="B571" s="46"/>
      <c r="C571" s="46"/>
      <c r="D571" s="39"/>
      <c r="E571" s="39"/>
      <c r="F571" s="42"/>
      <c r="G571" s="42"/>
      <c r="H571" s="42"/>
      <c r="I571" s="42"/>
      <c r="J571" s="39"/>
      <c r="K571" s="42"/>
      <c r="L571" s="47"/>
      <c r="M571" s="43"/>
      <c r="N571" s="44"/>
      <c r="O571" s="29"/>
      <c r="P571" s="26"/>
      <c r="Q571" s="26"/>
      <c r="R571" s="26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>
      <c r="A572" s="39"/>
      <c r="B572" s="46"/>
      <c r="C572" s="46"/>
      <c r="D572" s="39"/>
      <c r="E572" s="39"/>
      <c r="F572" s="42"/>
      <c r="G572" s="42"/>
      <c r="H572" s="42"/>
      <c r="I572" s="42"/>
      <c r="J572" s="39"/>
      <c r="K572" s="42"/>
      <c r="L572" s="47"/>
      <c r="M572" s="43"/>
      <c r="N572" s="44"/>
      <c r="O572" s="29"/>
      <c r="P572" s="26"/>
      <c r="Q572" s="26"/>
      <c r="R572" s="26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>
      <c r="A573" s="39"/>
      <c r="B573" s="46"/>
      <c r="C573" s="46"/>
      <c r="D573" s="39"/>
      <c r="E573" s="39"/>
      <c r="F573" s="42"/>
      <c r="G573" s="42"/>
      <c r="H573" s="42"/>
      <c r="I573" s="42"/>
      <c r="J573" s="39"/>
      <c r="K573" s="42"/>
      <c r="L573" s="47"/>
      <c r="M573" s="43"/>
      <c r="N573" s="44"/>
      <c r="O573" s="29"/>
      <c r="P573" s="26"/>
      <c r="Q573" s="26"/>
      <c r="R573" s="26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>
      <c r="A574" s="39"/>
      <c r="B574" s="46"/>
      <c r="C574" s="46"/>
      <c r="D574" s="39"/>
      <c r="E574" s="39"/>
      <c r="F574" s="42"/>
      <c r="G574" s="42"/>
      <c r="H574" s="42"/>
      <c r="I574" s="42"/>
      <c r="J574" s="39"/>
      <c r="K574" s="42"/>
      <c r="L574" s="47"/>
      <c r="M574" s="43"/>
      <c r="N574" s="44"/>
      <c r="O574" s="29"/>
      <c r="P574" s="26"/>
      <c r="Q574" s="26"/>
      <c r="R574" s="26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>
      <c r="A575" s="39"/>
      <c r="B575" s="46"/>
      <c r="C575" s="46"/>
      <c r="D575" s="39"/>
      <c r="E575" s="39"/>
      <c r="F575" s="42"/>
      <c r="G575" s="42"/>
      <c r="H575" s="42"/>
      <c r="I575" s="42"/>
      <c r="J575" s="39"/>
      <c r="K575" s="42"/>
      <c r="L575" s="47"/>
      <c r="M575" s="43"/>
      <c r="N575" s="44"/>
      <c r="O575" s="29"/>
      <c r="P575" s="26"/>
      <c r="Q575" s="26"/>
      <c r="R575" s="26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>
      <c r="A576" s="39"/>
      <c r="B576" s="46"/>
      <c r="C576" s="46"/>
      <c r="D576" s="39"/>
      <c r="E576" s="39"/>
      <c r="F576" s="42"/>
      <c r="G576" s="42"/>
      <c r="H576" s="42"/>
      <c r="I576" s="42"/>
      <c r="J576" s="39"/>
      <c r="K576" s="42"/>
      <c r="L576" s="47"/>
      <c r="M576" s="43"/>
      <c r="N576" s="44"/>
      <c r="O576" s="29"/>
      <c r="P576" s="26"/>
      <c r="Q576" s="26"/>
      <c r="R576" s="26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>
      <c r="A577" s="39"/>
      <c r="B577" s="46"/>
      <c r="C577" s="46"/>
      <c r="D577" s="39"/>
      <c r="E577" s="39"/>
      <c r="F577" s="42"/>
      <c r="G577" s="42"/>
      <c r="H577" s="42"/>
      <c r="I577" s="42"/>
      <c r="J577" s="39"/>
      <c r="K577" s="42"/>
      <c r="L577" s="47"/>
      <c r="M577" s="43"/>
      <c r="N577" s="44"/>
      <c r="O577" s="29"/>
      <c r="P577" s="26"/>
      <c r="Q577" s="26"/>
      <c r="R577" s="26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>
      <c r="A578" s="39"/>
      <c r="B578" s="46"/>
      <c r="C578" s="46"/>
      <c r="D578" s="39"/>
      <c r="E578" s="39"/>
      <c r="F578" s="42"/>
      <c r="G578" s="42"/>
      <c r="H578" s="42"/>
      <c r="I578" s="42"/>
      <c r="J578" s="39"/>
      <c r="K578" s="42"/>
      <c r="L578" s="47"/>
      <c r="M578" s="43"/>
      <c r="N578" s="44"/>
      <c r="O578" s="29"/>
      <c r="P578" s="26"/>
      <c r="Q578" s="26"/>
      <c r="R578" s="26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>
      <c r="A579" s="39"/>
      <c r="B579" s="46"/>
      <c r="C579" s="46"/>
      <c r="D579" s="39"/>
      <c r="E579" s="39"/>
      <c r="F579" s="42"/>
      <c r="G579" s="42"/>
      <c r="H579" s="42"/>
      <c r="I579" s="42"/>
      <c r="J579" s="39"/>
      <c r="K579" s="42"/>
      <c r="L579" s="47"/>
      <c r="M579" s="43"/>
      <c r="N579" s="44"/>
      <c r="O579" s="29"/>
      <c r="P579" s="26"/>
      <c r="Q579" s="26"/>
      <c r="R579" s="26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>
      <c r="A580" s="39"/>
      <c r="B580" s="46"/>
      <c r="C580" s="46"/>
      <c r="D580" s="39"/>
      <c r="E580" s="39"/>
      <c r="F580" s="42"/>
      <c r="G580" s="42"/>
      <c r="H580" s="42"/>
      <c r="I580" s="42"/>
      <c r="J580" s="39"/>
      <c r="K580" s="42"/>
      <c r="L580" s="47"/>
      <c r="M580" s="43"/>
      <c r="N580" s="44"/>
      <c r="O580" s="29"/>
      <c r="P580" s="26"/>
      <c r="Q580" s="26"/>
      <c r="R580" s="26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>
      <c r="A581" s="39"/>
      <c r="B581" s="46"/>
      <c r="C581" s="46"/>
      <c r="D581" s="39"/>
      <c r="E581" s="39"/>
      <c r="F581" s="42"/>
      <c r="G581" s="42"/>
      <c r="H581" s="42"/>
      <c r="I581" s="42"/>
      <c r="J581" s="39"/>
      <c r="K581" s="42"/>
      <c r="L581" s="47"/>
      <c r="M581" s="43"/>
      <c r="N581" s="44"/>
      <c r="O581" s="29"/>
      <c r="P581" s="26"/>
      <c r="Q581" s="26"/>
      <c r="R581" s="26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>
      <c r="A582" s="39"/>
      <c r="B582" s="46"/>
      <c r="C582" s="46"/>
      <c r="D582" s="39"/>
      <c r="E582" s="39"/>
      <c r="F582" s="42"/>
      <c r="G582" s="42"/>
      <c r="H582" s="42"/>
      <c r="I582" s="42"/>
      <c r="J582" s="39"/>
      <c r="K582" s="42"/>
      <c r="L582" s="47"/>
      <c r="M582" s="43"/>
      <c r="N582" s="44"/>
      <c r="O582" s="29"/>
      <c r="P582" s="26"/>
      <c r="Q582" s="26"/>
      <c r="R582" s="26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>
      <c r="A583" s="39"/>
      <c r="B583" s="46"/>
      <c r="C583" s="46"/>
      <c r="D583" s="39"/>
      <c r="E583" s="39"/>
      <c r="F583" s="42"/>
      <c r="G583" s="42"/>
      <c r="H583" s="42"/>
      <c r="I583" s="42"/>
      <c r="J583" s="39"/>
      <c r="K583" s="42"/>
      <c r="L583" s="47"/>
      <c r="M583" s="43"/>
      <c r="N583" s="44"/>
      <c r="O583" s="29"/>
      <c r="P583" s="26"/>
      <c r="Q583" s="26"/>
      <c r="R583" s="26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>
      <c r="A584" s="39"/>
      <c r="B584" s="46"/>
      <c r="C584" s="46"/>
      <c r="D584" s="39"/>
      <c r="E584" s="39"/>
      <c r="F584" s="42"/>
      <c r="G584" s="42"/>
      <c r="H584" s="42"/>
      <c r="I584" s="42"/>
      <c r="J584" s="39"/>
      <c r="K584" s="42"/>
      <c r="L584" s="47"/>
      <c r="M584" s="43"/>
      <c r="N584" s="44"/>
      <c r="O584" s="29"/>
      <c r="P584" s="26"/>
      <c r="Q584" s="26"/>
      <c r="R584" s="26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39"/>
      <c r="B585" s="46"/>
      <c r="C585" s="46"/>
      <c r="D585" s="39"/>
      <c r="E585" s="39"/>
      <c r="F585" s="42"/>
      <c r="G585" s="42"/>
      <c r="H585" s="42"/>
      <c r="I585" s="42"/>
      <c r="J585" s="39"/>
      <c r="K585" s="42"/>
      <c r="L585" s="47"/>
      <c r="M585" s="43"/>
      <c r="N585" s="44"/>
      <c r="O585" s="29"/>
      <c r="P585" s="26"/>
      <c r="Q585" s="26"/>
      <c r="R585" s="26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>
      <c r="A586" s="39"/>
      <c r="B586" s="46"/>
      <c r="C586" s="46"/>
      <c r="D586" s="39"/>
      <c r="E586" s="39"/>
      <c r="F586" s="42"/>
      <c r="G586" s="42"/>
      <c r="H586" s="42"/>
      <c r="I586" s="42"/>
      <c r="J586" s="39"/>
      <c r="K586" s="42"/>
      <c r="L586" s="47"/>
      <c r="M586" s="43"/>
      <c r="N586" s="44"/>
      <c r="O586" s="29"/>
      <c r="P586" s="26"/>
      <c r="Q586" s="26"/>
      <c r="R586" s="26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>
      <c r="A587" s="39"/>
      <c r="B587" s="46"/>
      <c r="C587" s="46"/>
      <c r="D587" s="39"/>
      <c r="E587" s="39"/>
      <c r="F587" s="42"/>
      <c r="G587" s="42"/>
      <c r="H587" s="42"/>
      <c r="I587" s="42"/>
      <c r="J587" s="39"/>
      <c r="K587" s="42"/>
      <c r="L587" s="47"/>
      <c r="M587" s="43"/>
      <c r="N587" s="44"/>
      <c r="O587" s="29"/>
      <c r="P587" s="26"/>
      <c r="Q587" s="26"/>
      <c r="R587" s="26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>
      <c r="A588" s="39"/>
      <c r="B588" s="46"/>
      <c r="C588" s="46"/>
      <c r="D588" s="39"/>
      <c r="E588" s="39"/>
      <c r="F588" s="42"/>
      <c r="G588" s="42"/>
      <c r="H588" s="42"/>
      <c r="I588" s="42"/>
      <c r="J588" s="39"/>
      <c r="K588" s="42"/>
      <c r="L588" s="47"/>
      <c r="M588" s="43"/>
      <c r="N588" s="44"/>
      <c r="O588" s="29"/>
      <c r="P588" s="26"/>
      <c r="Q588" s="26"/>
      <c r="R588" s="26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>
      <c r="A589" s="39"/>
      <c r="B589" s="46"/>
      <c r="C589" s="46"/>
      <c r="D589" s="39"/>
      <c r="E589" s="39"/>
      <c r="F589" s="42"/>
      <c r="G589" s="42"/>
      <c r="H589" s="42"/>
      <c r="I589" s="42"/>
      <c r="J589" s="39"/>
      <c r="K589" s="42"/>
      <c r="L589" s="47"/>
      <c r="M589" s="43"/>
      <c r="N589" s="44"/>
      <c r="O589" s="29"/>
      <c r="P589" s="26"/>
      <c r="Q589" s="26"/>
      <c r="R589" s="26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>
      <c r="A590" s="39"/>
      <c r="B590" s="46"/>
      <c r="C590" s="46"/>
      <c r="D590" s="39"/>
      <c r="E590" s="39"/>
      <c r="F590" s="42"/>
      <c r="G590" s="42"/>
      <c r="H590" s="42"/>
      <c r="I590" s="42"/>
      <c r="J590" s="39"/>
      <c r="K590" s="42"/>
      <c r="L590" s="47"/>
      <c r="M590" s="43"/>
      <c r="N590" s="44"/>
      <c r="O590" s="29"/>
      <c r="P590" s="26"/>
      <c r="Q590" s="26"/>
      <c r="R590" s="26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>
      <c r="A591" s="39"/>
      <c r="B591" s="46"/>
      <c r="C591" s="46"/>
      <c r="D591" s="39"/>
      <c r="E591" s="39"/>
      <c r="F591" s="42"/>
      <c r="G591" s="42"/>
      <c r="H591" s="42"/>
      <c r="I591" s="42"/>
      <c r="J591" s="39"/>
      <c r="K591" s="42"/>
      <c r="L591" s="47"/>
      <c r="M591" s="43"/>
      <c r="N591" s="44"/>
      <c r="O591" s="29"/>
      <c r="P591" s="26"/>
      <c r="Q591" s="26"/>
      <c r="R591" s="26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>
      <c r="A592" s="39"/>
      <c r="B592" s="46"/>
      <c r="C592" s="46"/>
      <c r="D592" s="39"/>
      <c r="E592" s="39"/>
      <c r="F592" s="42"/>
      <c r="G592" s="42"/>
      <c r="H592" s="42"/>
      <c r="I592" s="42"/>
      <c r="J592" s="39"/>
      <c r="K592" s="42"/>
      <c r="L592" s="47"/>
      <c r="M592" s="43"/>
      <c r="N592" s="44"/>
      <c r="O592" s="29"/>
      <c r="P592" s="26"/>
      <c r="Q592" s="26"/>
      <c r="R592" s="26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>
      <c r="A593" s="39"/>
      <c r="B593" s="46"/>
      <c r="C593" s="46"/>
      <c r="D593" s="39"/>
      <c r="E593" s="39"/>
      <c r="F593" s="42"/>
      <c r="G593" s="42"/>
      <c r="H593" s="42"/>
      <c r="I593" s="42"/>
      <c r="J593" s="39"/>
      <c r="K593" s="42"/>
      <c r="L593" s="47"/>
      <c r="M593" s="43"/>
      <c r="N593" s="44"/>
      <c r="O593" s="29"/>
      <c r="P593" s="26"/>
      <c r="Q593" s="26"/>
      <c r="R593" s="26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>
      <c r="A594" s="39"/>
      <c r="B594" s="46"/>
      <c r="C594" s="46"/>
      <c r="D594" s="39"/>
      <c r="E594" s="39"/>
      <c r="F594" s="42"/>
      <c r="G594" s="42"/>
      <c r="H594" s="42"/>
      <c r="I594" s="42"/>
      <c r="J594" s="39"/>
      <c r="K594" s="42"/>
      <c r="L594" s="47"/>
      <c r="M594" s="43"/>
      <c r="N594" s="44"/>
      <c r="O594" s="29"/>
      <c r="P594" s="26"/>
      <c r="Q594" s="26"/>
      <c r="R594" s="26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>
      <c r="A595" s="39"/>
      <c r="B595" s="46"/>
      <c r="C595" s="46"/>
      <c r="D595" s="39"/>
      <c r="E595" s="39"/>
      <c r="F595" s="42"/>
      <c r="G595" s="42"/>
      <c r="H595" s="42"/>
      <c r="I595" s="42"/>
      <c r="J595" s="39"/>
      <c r="K595" s="42"/>
      <c r="L595" s="47"/>
      <c r="M595" s="43"/>
      <c r="N595" s="44"/>
      <c r="O595" s="29"/>
      <c r="P595" s="26"/>
      <c r="Q595" s="26"/>
      <c r="R595" s="26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>
      <c r="A596" s="39"/>
      <c r="B596" s="46"/>
      <c r="C596" s="46"/>
      <c r="D596" s="39"/>
      <c r="E596" s="39"/>
      <c r="F596" s="42"/>
      <c r="G596" s="42"/>
      <c r="H596" s="42"/>
      <c r="I596" s="42"/>
      <c r="J596" s="39"/>
      <c r="K596" s="42"/>
      <c r="L596" s="47"/>
      <c r="M596" s="43"/>
      <c r="N596" s="44"/>
      <c r="O596" s="29"/>
      <c r="P596" s="26"/>
      <c r="Q596" s="26"/>
      <c r="R596" s="26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>
      <c r="A597" s="39"/>
      <c r="B597" s="46"/>
      <c r="C597" s="46"/>
      <c r="D597" s="39"/>
      <c r="E597" s="39"/>
      <c r="F597" s="42"/>
      <c r="G597" s="42"/>
      <c r="H597" s="42"/>
      <c r="I597" s="42"/>
      <c r="J597" s="39"/>
      <c r="K597" s="42"/>
      <c r="L597" s="47"/>
      <c r="M597" s="43"/>
      <c r="N597" s="44"/>
      <c r="O597" s="29"/>
      <c r="P597" s="26"/>
      <c r="Q597" s="26"/>
      <c r="R597" s="26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>
      <c r="A598" s="39"/>
      <c r="B598" s="46"/>
      <c r="C598" s="46"/>
      <c r="D598" s="39"/>
      <c r="E598" s="39"/>
      <c r="F598" s="42"/>
      <c r="G598" s="42"/>
      <c r="H598" s="42"/>
      <c r="I598" s="42"/>
      <c r="J598" s="39"/>
      <c r="K598" s="42"/>
      <c r="L598" s="47"/>
      <c r="M598" s="43"/>
      <c r="N598" s="44"/>
      <c r="O598" s="29"/>
      <c r="P598" s="26"/>
      <c r="Q598" s="26"/>
      <c r="R598" s="26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>
      <c r="A599" s="39"/>
      <c r="B599" s="46"/>
      <c r="C599" s="46"/>
      <c r="D599" s="39"/>
      <c r="E599" s="39"/>
      <c r="F599" s="42"/>
      <c r="G599" s="42"/>
      <c r="H599" s="42"/>
      <c r="I599" s="42"/>
      <c r="J599" s="39"/>
      <c r="K599" s="42"/>
      <c r="L599" s="47"/>
      <c r="M599" s="43"/>
      <c r="N599" s="44"/>
      <c r="O599" s="29"/>
      <c r="P599" s="26"/>
      <c r="Q599" s="26"/>
      <c r="R599" s="26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>
      <c r="A600" s="39"/>
      <c r="B600" s="46"/>
      <c r="C600" s="46"/>
      <c r="D600" s="39"/>
      <c r="E600" s="39"/>
      <c r="F600" s="42"/>
      <c r="G600" s="42"/>
      <c r="H600" s="42"/>
      <c r="I600" s="42"/>
      <c r="J600" s="39"/>
      <c r="K600" s="42"/>
      <c r="L600" s="47"/>
      <c r="M600" s="43"/>
      <c r="N600" s="44"/>
      <c r="O600" s="29"/>
      <c r="P600" s="26"/>
      <c r="Q600" s="26"/>
      <c r="R600" s="26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>
      <c r="A601" s="39"/>
      <c r="B601" s="46"/>
      <c r="C601" s="46"/>
      <c r="D601" s="39"/>
      <c r="E601" s="39"/>
      <c r="F601" s="42"/>
      <c r="G601" s="42"/>
      <c r="H601" s="42"/>
      <c r="I601" s="42"/>
      <c r="J601" s="39"/>
      <c r="K601" s="42"/>
      <c r="L601" s="47"/>
      <c r="M601" s="43"/>
      <c r="N601" s="44"/>
      <c r="O601" s="29"/>
      <c r="P601" s="26"/>
      <c r="Q601" s="26"/>
      <c r="R601" s="26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>
      <c r="A602" s="39"/>
      <c r="B602" s="46"/>
      <c r="C602" s="46"/>
      <c r="D602" s="39"/>
      <c r="E602" s="39"/>
      <c r="F602" s="42"/>
      <c r="G602" s="42"/>
      <c r="H602" s="42"/>
      <c r="I602" s="42"/>
      <c r="J602" s="39"/>
      <c r="K602" s="42"/>
      <c r="L602" s="47"/>
      <c r="M602" s="43"/>
      <c r="N602" s="44"/>
      <c r="O602" s="29"/>
      <c r="P602" s="26"/>
      <c r="Q602" s="26"/>
      <c r="R602" s="26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>
      <c r="A603" s="39"/>
      <c r="B603" s="46"/>
      <c r="C603" s="46"/>
      <c r="D603" s="39"/>
      <c r="E603" s="39"/>
      <c r="F603" s="42"/>
      <c r="G603" s="42"/>
      <c r="H603" s="42"/>
      <c r="I603" s="42"/>
      <c r="J603" s="39"/>
      <c r="K603" s="42"/>
      <c r="L603" s="47"/>
      <c r="M603" s="43"/>
      <c r="N603" s="44"/>
      <c r="O603" s="29"/>
      <c r="P603" s="26"/>
      <c r="Q603" s="26"/>
      <c r="R603" s="26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>
      <c r="A604" s="39"/>
      <c r="B604" s="46"/>
      <c r="C604" s="46"/>
      <c r="D604" s="39"/>
      <c r="E604" s="39"/>
      <c r="F604" s="42"/>
      <c r="G604" s="42"/>
      <c r="H604" s="42"/>
      <c r="I604" s="42"/>
      <c r="J604" s="39"/>
      <c r="K604" s="42"/>
      <c r="L604" s="47"/>
      <c r="M604" s="43"/>
      <c r="N604" s="44"/>
      <c r="O604" s="29"/>
      <c r="P604" s="26"/>
      <c r="Q604" s="26"/>
      <c r="R604" s="26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>
      <c r="A605" s="39"/>
      <c r="B605" s="46"/>
      <c r="C605" s="46"/>
      <c r="D605" s="39"/>
      <c r="E605" s="39"/>
      <c r="F605" s="42"/>
      <c r="G605" s="42"/>
      <c r="H605" s="42"/>
      <c r="I605" s="42"/>
      <c r="J605" s="39"/>
      <c r="K605" s="42"/>
      <c r="L605" s="47"/>
      <c r="M605" s="43"/>
      <c r="N605" s="44"/>
      <c r="O605" s="29"/>
      <c r="P605" s="26"/>
      <c r="Q605" s="26"/>
      <c r="R605" s="26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>
      <c r="A606" s="39"/>
      <c r="B606" s="46"/>
      <c r="C606" s="46"/>
      <c r="D606" s="39"/>
      <c r="E606" s="39"/>
      <c r="F606" s="42"/>
      <c r="G606" s="42"/>
      <c r="H606" s="42"/>
      <c r="I606" s="42"/>
      <c r="J606" s="39"/>
      <c r="K606" s="42"/>
      <c r="L606" s="47"/>
      <c r="M606" s="43"/>
      <c r="N606" s="44"/>
      <c r="O606" s="29"/>
      <c r="P606" s="26"/>
      <c r="Q606" s="26"/>
      <c r="R606" s="26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>
      <c r="A607" s="39"/>
      <c r="B607" s="46"/>
      <c r="C607" s="46"/>
      <c r="D607" s="39"/>
      <c r="E607" s="39"/>
      <c r="F607" s="42"/>
      <c r="G607" s="42"/>
      <c r="H607" s="42"/>
      <c r="I607" s="42"/>
      <c r="J607" s="39"/>
      <c r="K607" s="42"/>
      <c r="L607" s="47"/>
      <c r="M607" s="43"/>
      <c r="N607" s="44"/>
      <c r="O607" s="29"/>
      <c r="P607" s="26"/>
      <c r="Q607" s="26"/>
      <c r="R607" s="26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>
      <c r="A608" s="39"/>
      <c r="B608" s="46"/>
      <c r="C608" s="46"/>
      <c r="D608" s="39"/>
      <c r="E608" s="39"/>
      <c r="F608" s="42"/>
      <c r="G608" s="42"/>
      <c r="H608" s="42"/>
      <c r="I608" s="42"/>
      <c r="J608" s="39"/>
      <c r="K608" s="42"/>
      <c r="L608" s="47"/>
      <c r="M608" s="43"/>
      <c r="N608" s="44"/>
      <c r="O608" s="29"/>
      <c r="P608" s="26"/>
      <c r="Q608" s="26"/>
      <c r="R608" s="26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>
      <c r="A609" s="39"/>
      <c r="B609" s="46"/>
      <c r="C609" s="46"/>
      <c r="D609" s="39"/>
      <c r="E609" s="39"/>
      <c r="F609" s="42"/>
      <c r="G609" s="42"/>
      <c r="H609" s="42"/>
      <c r="I609" s="42"/>
      <c r="J609" s="39"/>
      <c r="K609" s="42"/>
      <c r="L609" s="47"/>
      <c r="M609" s="43"/>
      <c r="N609" s="44"/>
      <c r="O609" s="29"/>
      <c r="P609" s="26"/>
      <c r="Q609" s="26"/>
      <c r="R609" s="26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>
      <c r="A610" s="39"/>
      <c r="B610" s="46"/>
      <c r="C610" s="46"/>
      <c r="D610" s="39"/>
      <c r="E610" s="39"/>
      <c r="F610" s="42"/>
      <c r="G610" s="42"/>
      <c r="H610" s="42"/>
      <c r="I610" s="42"/>
      <c r="J610" s="39"/>
      <c r="K610" s="42"/>
      <c r="L610" s="47"/>
      <c r="M610" s="43"/>
      <c r="N610" s="44"/>
      <c r="O610" s="29"/>
      <c r="P610" s="26"/>
      <c r="Q610" s="26"/>
      <c r="R610" s="26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>
      <c r="A611" s="39"/>
      <c r="B611" s="46"/>
      <c r="C611" s="46"/>
      <c r="D611" s="39"/>
      <c r="E611" s="39"/>
      <c r="F611" s="42"/>
      <c r="G611" s="42"/>
      <c r="H611" s="42"/>
      <c r="I611" s="42"/>
      <c r="J611" s="39"/>
      <c r="K611" s="42"/>
      <c r="L611" s="47"/>
      <c r="M611" s="43"/>
      <c r="N611" s="44"/>
      <c r="O611" s="29"/>
      <c r="P611" s="26"/>
      <c r="Q611" s="26"/>
      <c r="R611" s="26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>
      <c r="A612" s="39"/>
      <c r="B612" s="46"/>
      <c r="C612" s="46"/>
      <c r="D612" s="39"/>
      <c r="E612" s="39"/>
      <c r="F612" s="42"/>
      <c r="G612" s="42"/>
      <c r="H612" s="42"/>
      <c r="I612" s="42"/>
      <c r="J612" s="39"/>
      <c r="K612" s="42"/>
      <c r="L612" s="47"/>
      <c r="M612" s="43"/>
      <c r="N612" s="44"/>
      <c r="O612" s="29"/>
      <c r="P612" s="26"/>
      <c r="Q612" s="26"/>
      <c r="R612" s="26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>
      <c r="A613" s="39"/>
      <c r="B613" s="46"/>
      <c r="C613" s="46"/>
      <c r="D613" s="39"/>
      <c r="E613" s="39"/>
      <c r="F613" s="42"/>
      <c r="G613" s="42"/>
      <c r="H613" s="42"/>
      <c r="I613" s="42"/>
      <c r="J613" s="39"/>
      <c r="K613" s="42"/>
      <c r="L613" s="47"/>
      <c r="M613" s="43"/>
      <c r="N613" s="44"/>
      <c r="O613" s="29"/>
      <c r="P613" s="26"/>
      <c r="Q613" s="26"/>
      <c r="R613" s="26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>
      <c r="A614" s="39"/>
      <c r="B614" s="46"/>
      <c r="C614" s="46"/>
      <c r="D614" s="39"/>
      <c r="E614" s="39"/>
      <c r="F614" s="42"/>
      <c r="G614" s="42"/>
      <c r="H614" s="42"/>
      <c r="I614" s="42"/>
      <c r="J614" s="39"/>
      <c r="K614" s="42"/>
      <c r="L614" s="47"/>
      <c r="M614" s="43"/>
      <c r="N614" s="44"/>
      <c r="O614" s="29"/>
      <c r="P614" s="26"/>
      <c r="Q614" s="26"/>
      <c r="R614" s="26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>
      <c r="A615" s="39"/>
      <c r="B615" s="46"/>
      <c r="C615" s="46"/>
      <c r="D615" s="39"/>
      <c r="E615" s="39"/>
      <c r="F615" s="42"/>
      <c r="G615" s="42"/>
      <c r="H615" s="42"/>
      <c r="I615" s="42"/>
      <c r="J615" s="39"/>
      <c r="K615" s="42"/>
      <c r="L615" s="47"/>
      <c r="M615" s="43"/>
      <c r="N615" s="44"/>
      <c r="O615" s="29"/>
      <c r="P615" s="26"/>
      <c r="Q615" s="26"/>
      <c r="R615" s="26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>
      <c r="A616" s="39"/>
      <c r="B616" s="46"/>
      <c r="C616" s="46"/>
      <c r="D616" s="39"/>
      <c r="E616" s="39"/>
      <c r="F616" s="42"/>
      <c r="G616" s="42"/>
      <c r="H616" s="42"/>
      <c r="I616" s="42"/>
      <c r="J616" s="39"/>
      <c r="K616" s="42"/>
      <c r="L616" s="47"/>
      <c r="M616" s="43"/>
      <c r="N616" s="44"/>
      <c r="O616" s="29"/>
      <c r="P616" s="26"/>
      <c r="Q616" s="26"/>
      <c r="R616" s="26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>
      <c r="A617" s="39"/>
      <c r="B617" s="46"/>
      <c r="C617" s="46"/>
      <c r="D617" s="39"/>
      <c r="E617" s="39"/>
      <c r="F617" s="42"/>
      <c r="G617" s="42"/>
      <c r="H617" s="42"/>
      <c r="I617" s="42"/>
      <c r="J617" s="39"/>
      <c r="K617" s="42"/>
      <c r="L617" s="47"/>
      <c r="M617" s="43"/>
      <c r="N617" s="44"/>
      <c r="O617" s="29"/>
      <c r="P617" s="26"/>
      <c r="Q617" s="26"/>
      <c r="R617" s="26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>
      <c r="A618" s="39"/>
      <c r="B618" s="46"/>
      <c r="C618" s="46"/>
      <c r="D618" s="39"/>
      <c r="E618" s="39"/>
      <c r="F618" s="42"/>
      <c r="G618" s="42"/>
      <c r="H618" s="42"/>
      <c r="I618" s="42"/>
      <c r="J618" s="39"/>
      <c r="K618" s="42"/>
      <c r="L618" s="47"/>
      <c r="M618" s="43"/>
      <c r="N618" s="44"/>
      <c r="O618" s="29"/>
      <c r="P618" s="26"/>
      <c r="Q618" s="26"/>
      <c r="R618" s="26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>
      <c r="A619" s="39"/>
      <c r="B619" s="46"/>
      <c r="C619" s="46"/>
      <c r="D619" s="39"/>
      <c r="E619" s="39"/>
      <c r="F619" s="42"/>
      <c r="G619" s="42"/>
      <c r="H619" s="42"/>
      <c r="I619" s="42"/>
      <c r="J619" s="39"/>
      <c r="K619" s="42"/>
      <c r="L619" s="47"/>
      <c r="M619" s="43"/>
      <c r="N619" s="44"/>
      <c r="O619" s="29"/>
      <c r="P619" s="26"/>
      <c r="Q619" s="26"/>
      <c r="R619" s="26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>
      <c r="A620" s="39"/>
      <c r="B620" s="46"/>
      <c r="C620" s="46"/>
      <c r="D620" s="39"/>
      <c r="E620" s="39"/>
      <c r="F620" s="42"/>
      <c r="G620" s="42"/>
      <c r="H620" s="42"/>
      <c r="I620" s="42"/>
      <c r="J620" s="39"/>
      <c r="K620" s="42"/>
      <c r="L620" s="47"/>
      <c r="M620" s="43"/>
      <c r="N620" s="44"/>
      <c r="O620" s="29"/>
      <c r="P620" s="26"/>
      <c r="Q620" s="26"/>
      <c r="R620" s="26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>
      <c r="A621" s="39"/>
      <c r="B621" s="46"/>
      <c r="C621" s="46"/>
      <c r="D621" s="39"/>
      <c r="E621" s="39"/>
      <c r="F621" s="42"/>
      <c r="G621" s="42"/>
      <c r="H621" s="42"/>
      <c r="I621" s="42"/>
      <c r="J621" s="39"/>
      <c r="K621" s="42"/>
      <c r="L621" s="47"/>
      <c r="M621" s="43"/>
      <c r="N621" s="44"/>
      <c r="O621" s="29"/>
      <c r="P621" s="26"/>
      <c r="Q621" s="26"/>
      <c r="R621" s="26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>
      <c r="A622" s="39"/>
      <c r="B622" s="46"/>
      <c r="C622" s="46"/>
      <c r="D622" s="39"/>
      <c r="E622" s="39"/>
      <c r="F622" s="42"/>
      <c r="G622" s="42"/>
      <c r="H622" s="42"/>
      <c r="I622" s="42"/>
      <c r="J622" s="39"/>
      <c r="K622" s="42"/>
      <c r="L622" s="47"/>
      <c r="M622" s="43"/>
      <c r="N622" s="44"/>
      <c r="O622" s="29"/>
      <c r="P622" s="26"/>
      <c r="Q622" s="26"/>
      <c r="R622" s="26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>
      <c r="A623" s="39"/>
      <c r="B623" s="46"/>
      <c r="C623" s="46"/>
      <c r="D623" s="39"/>
      <c r="E623" s="39"/>
      <c r="F623" s="42"/>
      <c r="G623" s="42"/>
      <c r="H623" s="42"/>
      <c r="I623" s="42"/>
      <c r="J623" s="39"/>
      <c r="K623" s="42"/>
      <c r="L623" s="47"/>
      <c r="M623" s="43"/>
      <c r="N623" s="44"/>
      <c r="O623" s="29"/>
      <c r="P623" s="26"/>
      <c r="Q623" s="26"/>
      <c r="R623" s="26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>
      <c r="A624" s="39"/>
      <c r="B624" s="46"/>
      <c r="C624" s="46"/>
      <c r="D624" s="39"/>
      <c r="E624" s="39"/>
      <c r="F624" s="42"/>
      <c r="G624" s="42"/>
      <c r="H624" s="42"/>
      <c r="I624" s="42"/>
      <c r="J624" s="39"/>
      <c r="K624" s="42"/>
      <c r="L624" s="47"/>
      <c r="M624" s="43"/>
      <c r="N624" s="44"/>
      <c r="O624" s="29"/>
      <c r="P624" s="26"/>
      <c r="Q624" s="26"/>
      <c r="R624" s="26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>
      <c r="A625" s="39"/>
      <c r="B625" s="46"/>
      <c r="C625" s="46"/>
      <c r="D625" s="39"/>
      <c r="E625" s="39"/>
      <c r="F625" s="42"/>
      <c r="G625" s="42"/>
      <c r="H625" s="42"/>
      <c r="I625" s="42"/>
      <c r="J625" s="39"/>
      <c r="K625" s="42"/>
      <c r="L625" s="47"/>
      <c r="M625" s="43"/>
      <c r="N625" s="44"/>
      <c r="O625" s="29"/>
      <c r="P625" s="26"/>
      <c r="Q625" s="26"/>
      <c r="R625" s="26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>
      <c r="A626" s="39"/>
      <c r="B626" s="46"/>
      <c r="C626" s="46"/>
      <c r="D626" s="39"/>
      <c r="E626" s="39"/>
      <c r="F626" s="42"/>
      <c r="G626" s="42"/>
      <c r="H626" s="42"/>
      <c r="I626" s="42"/>
      <c r="J626" s="39"/>
      <c r="K626" s="42"/>
      <c r="L626" s="47"/>
      <c r="M626" s="43"/>
      <c r="N626" s="44"/>
      <c r="O626" s="29"/>
      <c r="P626" s="26"/>
      <c r="Q626" s="26"/>
      <c r="R626" s="26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>
      <c r="A627" s="39"/>
      <c r="B627" s="46"/>
      <c r="C627" s="46"/>
      <c r="D627" s="39"/>
      <c r="E627" s="39"/>
      <c r="F627" s="42"/>
      <c r="G627" s="42"/>
      <c r="H627" s="42"/>
      <c r="I627" s="42"/>
      <c r="J627" s="39"/>
      <c r="K627" s="42"/>
      <c r="L627" s="47"/>
      <c r="M627" s="43"/>
      <c r="N627" s="44"/>
      <c r="O627" s="29"/>
      <c r="P627" s="26"/>
      <c r="Q627" s="26"/>
      <c r="R627" s="26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>
      <c r="A628" s="39"/>
      <c r="B628" s="46"/>
      <c r="C628" s="46"/>
      <c r="D628" s="39"/>
      <c r="E628" s="39"/>
      <c r="F628" s="42"/>
      <c r="G628" s="42"/>
      <c r="H628" s="42"/>
      <c r="I628" s="42"/>
      <c r="J628" s="39"/>
      <c r="K628" s="42"/>
      <c r="L628" s="47"/>
      <c r="M628" s="43"/>
      <c r="N628" s="44"/>
      <c r="O628" s="29"/>
      <c r="P628" s="26"/>
      <c r="Q628" s="26"/>
      <c r="R628" s="26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>
      <c r="A629" s="39"/>
      <c r="B629" s="46"/>
      <c r="C629" s="46"/>
      <c r="D629" s="39"/>
      <c r="E629" s="39"/>
      <c r="F629" s="42"/>
      <c r="G629" s="42"/>
      <c r="H629" s="42"/>
      <c r="I629" s="42"/>
      <c r="J629" s="39"/>
      <c r="K629" s="42"/>
      <c r="L629" s="47"/>
      <c r="M629" s="43"/>
      <c r="N629" s="44"/>
      <c r="O629" s="29"/>
      <c r="P629" s="26"/>
      <c r="Q629" s="26"/>
      <c r="R629" s="26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>
      <c r="A630" s="39"/>
      <c r="B630" s="46"/>
      <c r="C630" s="46"/>
      <c r="D630" s="39"/>
      <c r="E630" s="39"/>
      <c r="F630" s="42"/>
      <c r="G630" s="42"/>
      <c r="H630" s="42"/>
      <c r="I630" s="42"/>
      <c r="J630" s="39"/>
      <c r="K630" s="42"/>
      <c r="L630" s="47"/>
      <c r="M630" s="43"/>
      <c r="N630" s="44"/>
      <c r="O630" s="29"/>
      <c r="P630" s="26"/>
      <c r="Q630" s="26"/>
      <c r="R630" s="26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>
      <c r="A631" s="39"/>
      <c r="B631" s="46"/>
      <c r="C631" s="46"/>
      <c r="D631" s="39"/>
      <c r="E631" s="39"/>
      <c r="F631" s="42"/>
      <c r="G631" s="42"/>
      <c r="H631" s="42"/>
      <c r="I631" s="42"/>
      <c r="J631" s="39"/>
      <c r="K631" s="42"/>
      <c r="L631" s="47"/>
      <c r="M631" s="43"/>
      <c r="N631" s="44"/>
      <c r="O631" s="29"/>
      <c r="P631" s="26"/>
      <c r="Q631" s="26"/>
      <c r="R631" s="26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>
      <c r="A632" s="39"/>
      <c r="B632" s="46"/>
      <c r="C632" s="46"/>
      <c r="D632" s="39"/>
      <c r="E632" s="39"/>
      <c r="F632" s="42"/>
      <c r="G632" s="42"/>
      <c r="H632" s="42"/>
      <c r="I632" s="42"/>
      <c r="J632" s="39"/>
      <c r="K632" s="42"/>
      <c r="L632" s="47"/>
      <c r="M632" s="43"/>
      <c r="N632" s="44"/>
      <c r="O632" s="29"/>
      <c r="P632" s="26"/>
      <c r="Q632" s="26"/>
      <c r="R632" s="26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>
      <c r="A633" s="39"/>
      <c r="B633" s="46"/>
      <c r="C633" s="46"/>
      <c r="D633" s="39"/>
      <c r="E633" s="39"/>
      <c r="F633" s="42"/>
      <c r="G633" s="42"/>
      <c r="H633" s="42"/>
      <c r="I633" s="42"/>
      <c r="J633" s="39"/>
      <c r="K633" s="42"/>
      <c r="L633" s="47"/>
      <c r="M633" s="43"/>
      <c r="N633" s="44"/>
      <c r="O633" s="29"/>
      <c r="P633" s="26"/>
      <c r="Q633" s="26"/>
      <c r="R633" s="26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>
      <c r="A634" s="39"/>
      <c r="B634" s="46"/>
      <c r="C634" s="46"/>
      <c r="D634" s="39"/>
      <c r="E634" s="39"/>
      <c r="F634" s="42"/>
      <c r="G634" s="42"/>
      <c r="H634" s="42"/>
      <c r="I634" s="42"/>
      <c r="J634" s="39"/>
      <c r="K634" s="42"/>
      <c r="L634" s="47"/>
      <c r="M634" s="43"/>
      <c r="N634" s="44"/>
      <c r="O634" s="29"/>
      <c r="P634" s="26"/>
      <c r="Q634" s="26"/>
      <c r="R634" s="26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>
      <c r="A635" s="39"/>
      <c r="B635" s="46"/>
      <c r="C635" s="46"/>
      <c r="D635" s="39"/>
      <c r="E635" s="39"/>
      <c r="F635" s="42"/>
      <c r="G635" s="42"/>
      <c r="H635" s="42"/>
      <c r="I635" s="42"/>
      <c r="J635" s="39"/>
      <c r="K635" s="42"/>
      <c r="L635" s="47"/>
      <c r="M635" s="43"/>
      <c r="N635" s="44"/>
      <c r="O635" s="29"/>
      <c r="P635" s="26"/>
      <c r="Q635" s="26"/>
      <c r="R635" s="26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>
      <c r="A636" s="39"/>
      <c r="B636" s="46"/>
      <c r="C636" s="46"/>
      <c r="D636" s="39"/>
      <c r="E636" s="39"/>
      <c r="F636" s="42"/>
      <c r="G636" s="42"/>
      <c r="H636" s="42"/>
      <c r="I636" s="42"/>
      <c r="J636" s="39"/>
      <c r="K636" s="42"/>
      <c r="L636" s="47"/>
      <c r="M636" s="43"/>
      <c r="N636" s="44"/>
      <c r="O636" s="29"/>
      <c r="P636" s="26"/>
      <c r="Q636" s="26"/>
      <c r="R636" s="26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>
      <c r="A637" s="39"/>
      <c r="B637" s="46"/>
      <c r="C637" s="46"/>
      <c r="D637" s="39"/>
      <c r="E637" s="39"/>
      <c r="F637" s="42"/>
      <c r="G637" s="42"/>
      <c r="H637" s="42"/>
      <c r="I637" s="42"/>
      <c r="J637" s="39"/>
      <c r="K637" s="42"/>
      <c r="L637" s="47"/>
      <c r="M637" s="43"/>
      <c r="N637" s="44"/>
      <c r="O637" s="29"/>
      <c r="P637" s="26"/>
      <c r="Q637" s="26"/>
      <c r="R637" s="26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>
      <c r="A638" s="39"/>
      <c r="B638" s="46"/>
      <c r="C638" s="46"/>
      <c r="D638" s="39"/>
      <c r="E638" s="39"/>
      <c r="F638" s="42"/>
      <c r="G638" s="42"/>
      <c r="H638" s="42"/>
      <c r="I638" s="42"/>
      <c r="J638" s="39"/>
      <c r="K638" s="42"/>
      <c r="L638" s="47"/>
      <c r="M638" s="43"/>
      <c r="N638" s="44"/>
      <c r="O638" s="29"/>
      <c r="P638" s="26"/>
      <c r="Q638" s="26"/>
      <c r="R638" s="26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>
      <c r="A639" s="39"/>
      <c r="B639" s="46"/>
      <c r="C639" s="46"/>
      <c r="D639" s="39"/>
      <c r="E639" s="39"/>
      <c r="F639" s="42"/>
      <c r="G639" s="42"/>
      <c r="H639" s="42"/>
      <c r="I639" s="42"/>
      <c r="J639" s="39"/>
      <c r="K639" s="42"/>
      <c r="L639" s="47"/>
      <c r="M639" s="43"/>
      <c r="N639" s="44"/>
      <c r="O639" s="29"/>
      <c r="P639" s="26"/>
      <c r="Q639" s="26"/>
      <c r="R639" s="26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>
      <c r="A640" s="39"/>
      <c r="B640" s="46"/>
      <c r="C640" s="46"/>
      <c r="D640" s="39"/>
      <c r="E640" s="39"/>
      <c r="F640" s="42"/>
      <c r="G640" s="42"/>
      <c r="H640" s="42"/>
      <c r="I640" s="42"/>
      <c r="J640" s="39"/>
      <c r="K640" s="42"/>
      <c r="L640" s="47"/>
      <c r="M640" s="43"/>
      <c r="N640" s="44"/>
      <c r="O640" s="29"/>
      <c r="P640" s="26"/>
      <c r="Q640" s="26"/>
      <c r="R640" s="26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>
      <c r="A641" s="39"/>
      <c r="B641" s="46"/>
      <c r="C641" s="46"/>
      <c r="D641" s="39"/>
      <c r="E641" s="39"/>
      <c r="F641" s="42"/>
      <c r="G641" s="42"/>
      <c r="H641" s="42"/>
      <c r="I641" s="42"/>
      <c r="J641" s="39"/>
      <c r="K641" s="42"/>
      <c r="L641" s="47"/>
      <c r="M641" s="43"/>
      <c r="N641" s="44"/>
      <c r="O641" s="29"/>
      <c r="P641" s="26"/>
      <c r="Q641" s="26"/>
      <c r="R641" s="26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>
      <c r="A642" s="39"/>
      <c r="B642" s="46"/>
      <c r="C642" s="46"/>
      <c r="D642" s="39"/>
      <c r="E642" s="39"/>
      <c r="F642" s="42"/>
      <c r="G642" s="42"/>
      <c r="H642" s="42"/>
      <c r="I642" s="42"/>
      <c r="J642" s="39"/>
      <c r="K642" s="42"/>
      <c r="L642" s="47"/>
      <c r="M642" s="43"/>
      <c r="N642" s="44"/>
      <c r="O642" s="29"/>
      <c r="P642" s="26"/>
      <c r="Q642" s="26"/>
      <c r="R642" s="26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>
      <c r="A643" s="39"/>
      <c r="B643" s="46"/>
      <c r="C643" s="46"/>
      <c r="D643" s="39"/>
      <c r="E643" s="39"/>
      <c r="F643" s="42"/>
      <c r="G643" s="42"/>
      <c r="H643" s="42"/>
      <c r="I643" s="42"/>
      <c r="J643" s="39"/>
      <c r="K643" s="42"/>
      <c r="L643" s="47"/>
      <c r="M643" s="43"/>
      <c r="N643" s="44"/>
      <c r="O643" s="29"/>
      <c r="P643" s="26"/>
      <c r="Q643" s="26"/>
      <c r="R643" s="26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>
      <c r="A644" s="39"/>
      <c r="B644" s="46"/>
      <c r="C644" s="46"/>
      <c r="D644" s="39"/>
      <c r="E644" s="39"/>
      <c r="F644" s="42"/>
      <c r="G644" s="42"/>
      <c r="H644" s="42"/>
      <c r="I644" s="42"/>
      <c r="J644" s="39"/>
      <c r="K644" s="42"/>
      <c r="L644" s="47"/>
      <c r="M644" s="43"/>
      <c r="N644" s="44"/>
      <c r="O644" s="29"/>
      <c r="P644" s="26"/>
      <c r="Q644" s="26"/>
      <c r="R644" s="26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>
      <c r="A645" s="39"/>
      <c r="B645" s="46"/>
      <c r="C645" s="46"/>
      <c r="D645" s="39"/>
      <c r="E645" s="39"/>
      <c r="F645" s="42"/>
      <c r="G645" s="42"/>
      <c r="H645" s="42"/>
      <c r="I645" s="42"/>
      <c r="J645" s="39"/>
      <c r="K645" s="42"/>
      <c r="L645" s="47"/>
      <c r="M645" s="43"/>
      <c r="N645" s="44"/>
      <c r="O645" s="29"/>
      <c r="P645" s="26"/>
      <c r="Q645" s="26"/>
      <c r="R645" s="26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>
      <c r="A646" s="39"/>
      <c r="B646" s="46"/>
      <c r="C646" s="46"/>
      <c r="D646" s="39"/>
      <c r="E646" s="39"/>
      <c r="F646" s="42"/>
      <c r="G646" s="42"/>
      <c r="H646" s="42"/>
      <c r="I646" s="42"/>
      <c r="J646" s="39"/>
      <c r="K646" s="42"/>
      <c r="L646" s="47"/>
      <c r="M646" s="43"/>
      <c r="N646" s="44"/>
      <c r="O646" s="29"/>
      <c r="P646" s="26"/>
      <c r="Q646" s="26"/>
      <c r="R646" s="26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>
      <c r="A647" s="39"/>
      <c r="B647" s="46"/>
      <c r="C647" s="46"/>
      <c r="D647" s="39"/>
      <c r="E647" s="39"/>
      <c r="F647" s="42"/>
      <c r="G647" s="42"/>
      <c r="H647" s="42"/>
      <c r="I647" s="42"/>
      <c r="J647" s="39"/>
      <c r="K647" s="42"/>
      <c r="L647" s="47"/>
      <c r="M647" s="43"/>
      <c r="N647" s="44"/>
      <c r="O647" s="29"/>
      <c r="P647" s="26"/>
      <c r="Q647" s="26"/>
      <c r="R647" s="26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>
      <c r="A648" s="39"/>
      <c r="B648" s="46"/>
      <c r="C648" s="46"/>
      <c r="D648" s="39"/>
      <c r="E648" s="39"/>
      <c r="F648" s="42"/>
      <c r="G648" s="42"/>
      <c r="H648" s="42"/>
      <c r="I648" s="42"/>
      <c r="J648" s="39"/>
      <c r="K648" s="42"/>
      <c r="L648" s="47"/>
      <c r="M648" s="43"/>
      <c r="N648" s="44"/>
      <c r="O648" s="29"/>
      <c r="P648" s="26"/>
      <c r="Q648" s="26"/>
      <c r="R648" s="26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>
      <c r="A649" s="39"/>
      <c r="B649" s="46"/>
      <c r="C649" s="46"/>
      <c r="D649" s="39"/>
      <c r="E649" s="39"/>
      <c r="F649" s="42"/>
      <c r="G649" s="42"/>
      <c r="H649" s="42"/>
      <c r="I649" s="42"/>
      <c r="J649" s="39"/>
      <c r="K649" s="42"/>
      <c r="L649" s="47"/>
      <c r="M649" s="43"/>
      <c r="N649" s="44"/>
      <c r="O649" s="29"/>
      <c r="P649" s="26"/>
      <c r="Q649" s="26"/>
      <c r="R649" s="26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>
      <c r="A650" s="39"/>
      <c r="B650" s="46"/>
      <c r="C650" s="46"/>
      <c r="D650" s="39"/>
      <c r="E650" s="39"/>
      <c r="F650" s="42"/>
      <c r="G650" s="42"/>
      <c r="H650" s="42"/>
      <c r="I650" s="42"/>
      <c r="J650" s="39"/>
      <c r="K650" s="42"/>
      <c r="L650" s="47"/>
      <c r="M650" s="43"/>
      <c r="N650" s="44"/>
      <c r="O650" s="29"/>
      <c r="P650" s="26"/>
      <c r="Q650" s="26"/>
      <c r="R650" s="26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>
      <c r="A651" s="39"/>
      <c r="B651" s="46"/>
      <c r="C651" s="46"/>
      <c r="D651" s="39"/>
      <c r="E651" s="39"/>
      <c r="F651" s="42"/>
      <c r="G651" s="42"/>
      <c r="H651" s="42"/>
      <c r="I651" s="42"/>
      <c r="J651" s="39"/>
      <c r="K651" s="42"/>
      <c r="L651" s="47"/>
      <c r="M651" s="43"/>
      <c r="N651" s="44"/>
      <c r="O651" s="29"/>
      <c r="P651" s="26"/>
      <c r="Q651" s="26"/>
      <c r="R651" s="26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>
      <c r="A652" s="39"/>
      <c r="B652" s="46"/>
      <c r="C652" s="46"/>
      <c r="D652" s="39"/>
      <c r="E652" s="39"/>
      <c r="F652" s="42"/>
      <c r="G652" s="42"/>
      <c r="H652" s="42"/>
      <c r="I652" s="42"/>
      <c r="J652" s="39"/>
      <c r="K652" s="42"/>
      <c r="L652" s="47"/>
      <c r="M652" s="43"/>
      <c r="N652" s="44"/>
      <c r="O652" s="29"/>
      <c r="P652" s="26"/>
      <c r="Q652" s="26"/>
      <c r="R652" s="26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>
      <c r="A653" s="39"/>
      <c r="B653" s="46"/>
      <c r="C653" s="46"/>
      <c r="D653" s="39"/>
      <c r="E653" s="39"/>
      <c r="F653" s="42"/>
      <c r="G653" s="42"/>
      <c r="H653" s="42"/>
      <c r="I653" s="42"/>
      <c r="J653" s="39"/>
      <c r="K653" s="42"/>
      <c r="L653" s="47"/>
      <c r="M653" s="43"/>
      <c r="N653" s="44"/>
      <c r="O653" s="29"/>
      <c r="P653" s="26"/>
      <c r="Q653" s="26"/>
      <c r="R653" s="26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>
      <c r="A654" s="39"/>
      <c r="B654" s="46"/>
      <c r="C654" s="46"/>
      <c r="D654" s="39"/>
      <c r="E654" s="39"/>
      <c r="F654" s="42"/>
      <c r="G654" s="42"/>
      <c r="H654" s="42"/>
      <c r="I654" s="42"/>
      <c r="J654" s="39"/>
      <c r="K654" s="42"/>
      <c r="L654" s="47"/>
      <c r="M654" s="43"/>
      <c r="N654" s="44"/>
      <c r="O654" s="29"/>
      <c r="P654" s="26"/>
      <c r="Q654" s="26"/>
      <c r="R654" s="26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>
      <c r="A655" s="39"/>
      <c r="B655" s="46"/>
      <c r="C655" s="46"/>
      <c r="D655" s="39"/>
      <c r="E655" s="39"/>
      <c r="F655" s="42"/>
      <c r="G655" s="42"/>
      <c r="H655" s="42"/>
      <c r="I655" s="42"/>
      <c r="J655" s="39"/>
      <c r="K655" s="42"/>
      <c r="L655" s="47"/>
      <c r="M655" s="43"/>
      <c r="N655" s="44"/>
      <c r="O655" s="29"/>
      <c r="P655" s="26"/>
      <c r="Q655" s="26"/>
      <c r="R655" s="26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>
      <c r="A656" s="39"/>
      <c r="B656" s="46"/>
      <c r="C656" s="46"/>
      <c r="D656" s="39"/>
      <c r="E656" s="39"/>
      <c r="F656" s="42"/>
      <c r="G656" s="42"/>
      <c r="H656" s="42"/>
      <c r="I656" s="42"/>
      <c r="J656" s="39"/>
      <c r="K656" s="42"/>
      <c r="L656" s="47"/>
      <c r="M656" s="43"/>
      <c r="N656" s="44"/>
      <c r="O656" s="29"/>
      <c r="P656" s="26"/>
      <c r="Q656" s="26"/>
      <c r="R656" s="26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>
      <c r="A657" s="39"/>
      <c r="B657" s="46"/>
      <c r="C657" s="46"/>
      <c r="D657" s="39"/>
      <c r="E657" s="39"/>
      <c r="F657" s="42"/>
      <c r="G657" s="42"/>
      <c r="H657" s="42"/>
      <c r="I657" s="42"/>
      <c r="J657" s="39"/>
      <c r="K657" s="42"/>
      <c r="L657" s="47"/>
      <c r="M657" s="43"/>
      <c r="N657" s="44"/>
      <c r="O657" s="29"/>
      <c r="P657" s="26"/>
      <c r="Q657" s="26"/>
      <c r="R657" s="26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>
      <c r="A658" s="39"/>
      <c r="B658" s="46"/>
      <c r="C658" s="46"/>
      <c r="D658" s="39"/>
      <c r="E658" s="39"/>
      <c r="F658" s="42"/>
      <c r="G658" s="42"/>
      <c r="H658" s="42"/>
      <c r="I658" s="42"/>
      <c r="J658" s="39"/>
      <c r="K658" s="42"/>
      <c r="L658" s="47"/>
      <c r="M658" s="43"/>
      <c r="N658" s="44"/>
      <c r="O658" s="29"/>
      <c r="P658" s="26"/>
      <c r="Q658" s="26"/>
      <c r="R658" s="26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>
      <c r="A659" s="39"/>
      <c r="B659" s="46"/>
      <c r="C659" s="46"/>
      <c r="D659" s="39"/>
      <c r="E659" s="39"/>
      <c r="F659" s="42"/>
      <c r="G659" s="42"/>
      <c r="H659" s="42"/>
      <c r="I659" s="42"/>
      <c r="J659" s="39"/>
      <c r="K659" s="42"/>
      <c r="L659" s="47"/>
      <c r="M659" s="43"/>
      <c r="N659" s="44"/>
      <c r="O659" s="29"/>
      <c r="P659" s="26"/>
      <c r="Q659" s="26"/>
      <c r="R659" s="26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>
      <c r="A660" s="39"/>
      <c r="B660" s="46"/>
      <c r="C660" s="46"/>
      <c r="D660" s="39"/>
      <c r="E660" s="39"/>
      <c r="F660" s="42"/>
      <c r="G660" s="42"/>
      <c r="H660" s="42"/>
      <c r="I660" s="42"/>
      <c r="J660" s="39"/>
      <c r="K660" s="42"/>
      <c r="L660" s="47"/>
      <c r="M660" s="43"/>
      <c r="N660" s="44"/>
      <c r="O660" s="29"/>
      <c r="P660" s="26"/>
      <c r="Q660" s="26"/>
      <c r="R660" s="26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>
      <c r="A661" s="39"/>
      <c r="B661" s="46"/>
      <c r="C661" s="46"/>
      <c r="D661" s="39"/>
      <c r="E661" s="39"/>
      <c r="F661" s="42"/>
      <c r="G661" s="42"/>
      <c r="H661" s="42"/>
      <c r="I661" s="42"/>
      <c r="J661" s="39"/>
      <c r="K661" s="42"/>
      <c r="L661" s="47"/>
      <c r="M661" s="43"/>
      <c r="N661" s="44"/>
      <c r="O661" s="29"/>
      <c r="P661" s="26"/>
      <c r="Q661" s="26"/>
      <c r="R661" s="26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>
      <c r="A662" s="39"/>
      <c r="B662" s="46"/>
      <c r="C662" s="46"/>
      <c r="D662" s="39"/>
      <c r="E662" s="39"/>
      <c r="F662" s="42"/>
      <c r="G662" s="42"/>
      <c r="H662" s="42"/>
      <c r="I662" s="42"/>
      <c r="J662" s="39"/>
      <c r="K662" s="42"/>
      <c r="L662" s="47"/>
      <c r="M662" s="43"/>
      <c r="N662" s="44"/>
      <c r="O662" s="29"/>
      <c r="P662" s="26"/>
      <c r="Q662" s="26"/>
      <c r="R662" s="26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>
      <c r="A663" s="39"/>
      <c r="B663" s="46"/>
      <c r="C663" s="46"/>
      <c r="D663" s="39"/>
      <c r="E663" s="39"/>
      <c r="F663" s="42"/>
      <c r="G663" s="42"/>
      <c r="H663" s="42"/>
      <c r="I663" s="42"/>
      <c r="J663" s="39"/>
      <c r="K663" s="42"/>
      <c r="L663" s="47"/>
      <c r="M663" s="43"/>
      <c r="N663" s="44"/>
      <c r="O663" s="29"/>
      <c r="P663" s="26"/>
      <c r="Q663" s="26"/>
      <c r="R663" s="26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>
      <c r="A664" s="39"/>
      <c r="B664" s="46"/>
      <c r="C664" s="46"/>
      <c r="D664" s="39"/>
      <c r="E664" s="39"/>
      <c r="F664" s="42"/>
      <c r="G664" s="42"/>
      <c r="H664" s="42"/>
      <c r="I664" s="42"/>
      <c r="J664" s="39"/>
      <c r="K664" s="42"/>
      <c r="L664" s="47"/>
      <c r="M664" s="43"/>
      <c r="N664" s="44"/>
      <c r="O664" s="29"/>
      <c r="P664" s="26"/>
      <c r="Q664" s="26"/>
      <c r="R664" s="26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>
      <c r="A665" s="39"/>
      <c r="B665" s="46"/>
      <c r="C665" s="46"/>
      <c r="D665" s="39"/>
      <c r="E665" s="39"/>
      <c r="F665" s="42"/>
      <c r="G665" s="42"/>
      <c r="H665" s="42"/>
      <c r="I665" s="42"/>
      <c r="J665" s="39"/>
      <c r="K665" s="42"/>
      <c r="L665" s="47"/>
      <c r="M665" s="43"/>
      <c r="N665" s="44"/>
      <c r="O665" s="29"/>
      <c r="P665" s="26"/>
      <c r="Q665" s="26"/>
      <c r="R665" s="26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>
      <c r="A666" s="39"/>
      <c r="B666" s="46"/>
      <c r="C666" s="46"/>
      <c r="D666" s="39"/>
      <c r="E666" s="39"/>
      <c r="F666" s="42"/>
      <c r="G666" s="42"/>
      <c r="H666" s="42"/>
      <c r="I666" s="42"/>
      <c r="J666" s="39"/>
      <c r="K666" s="42"/>
      <c r="L666" s="47"/>
      <c r="M666" s="43"/>
      <c r="N666" s="44"/>
      <c r="O666" s="29"/>
      <c r="P666" s="26"/>
      <c r="Q666" s="26"/>
      <c r="R666" s="26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>
      <c r="A667" s="39"/>
      <c r="B667" s="46"/>
      <c r="C667" s="46"/>
      <c r="D667" s="39"/>
      <c r="E667" s="39"/>
      <c r="F667" s="42"/>
      <c r="G667" s="42"/>
      <c r="H667" s="42"/>
      <c r="I667" s="42"/>
      <c r="J667" s="39"/>
      <c r="K667" s="42"/>
      <c r="L667" s="47"/>
      <c r="M667" s="43"/>
      <c r="N667" s="44"/>
      <c r="O667" s="29"/>
      <c r="P667" s="26"/>
      <c r="Q667" s="26"/>
      <c r="R667" s="26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>
      <c r="A668" s="39"/>
      <c r="B668" s="46"/>
      <c r="C668" s="46"/>
      <c r="D668" s="39"/>
      <c r="E668" s="39"/>
      <c r="F668" s="42"/>
      <c r="G668" s="42"/>
      <c r="H668" s="42"/>
      <c r="I668" s="42"/>
      <c r="J668" s="39"/>
      <c r="K668" s="42"/>
      <c r="L668" s="47"/>
      <c r="M668" s="43"/>
      <c r="N668" s="44"/>
      <c r="O668" s="29"/>
      <c r="P668" s="26"/>
      <c r="Q668" s="26"/>
      <c r="R668" s="26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>
      <c r="A669" s="39"/>
      <c r="B669" s="46"/>
      <c r="C669" s="46"/>
      <c r="D669" s="39"/>
      <c r="E669" s="39"/>
      <c r="F669" s="42"/>
      <c r="G669" s="42"/>
      <c r="H669" s="42"/>
      <c r="I669" s="42"/>
      <c r="J669" s="39"/>
      <c r="K669" s="42"/>
      <c r="L669" s="47"/>
      <c r="M669" s="43"/>
      <c r="N669" s="44"/>
      <c r="O669" s="29"/>
      <c r="P669" s="26"/>
      <c r="Q669" s="26"/>
      <c r="R669" s="26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>
      <c r="A670" s="39"/>
      <c r="B670" s="46"/>
      <c r="C670" s="46"/>
      <c r="D670" s="39"/>
      <c r="E670" s="39"/>
      <c r="F670" s="42"/>
      <c r="G670" s="42"/>
      <c r="H670" s="42"/>
      <c r="I670" s="42"/>
      <c r="J670" s="39"/>
      <c r="K670" s="42"/>
      <c r="L670" s="47"/>
      <c r="M670" s="43"/>
      <c r="N670" s="44"/>
      <c r="O670" s="29"/>
      <c r="P670" s="26"/>
      <c r="Q670" s="26"/>
      <c r="R670" s="26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>
      <c r="A671" s="39"/>
      <c r="B671" s="46"/>
      <c r="C671" s="46"/>
      <c r="D671" s="39"/>
      <c r="E671" s="39"/>
      <c r="F671" s="42"/>
      <c r="G671" s="42"/>
      <c r="H671" s="42"/>
      <c r="I671" s="42"/>
      <c r="J671" s="39"/>
      <c r="K671" s="42"/>
      <c r="L671" s="47"/>
      <c r="M671" s="43"/>
      <c r="N671" s="44"/>
      <c r="O671" s="29"/>
      <c r="P671" s="26"/>
      <c r="Q671" s="26"/>
      <c r="R671" s="26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>
      <c r="A672" s="39"/>
      <c r="B672" s="46"/>
      <c r="C672" s="46"/>
      <c r="D672" s="39"/>
      <c r="E672" s="39"/>
      <c r="F672" s="42"/>
      <c r="G672" s="42"/>
      <c r="H672" s="42"/>
      <c r="I672" s="42"/>
      <c r="J672" s="39"/>
      <c r="K672" s="42"/>
      <c r="L672" s="47"/>
      <c r="M672" s="43"/>
      <c r="N672" s="44"/>
      <c r="O672" s="29"/>
      <c r="P672" s="26"/>
      <c r="Q672" s="26"/>
      <c r="R672" s="26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>
      <c r="A673" s="39"/>
      <c r="B673" s="46"/>
      <c r="C673" s="46"/>
      <c r="D673" s="39"/>
      <c r="E673" s="39"/>
      <c r="F673" s="42"/>
      <c r="G673" s="42"/>
      <c r="H673" s="42"/>
      <c r="I673" s="42"/>
      <c r="J673" s="39"/>
      <c r="K673" s="42"/>
      <c r="L673" s="47"/>
      <c r="M673" s="43"/>
      <c r="N673" s="44"/>
      <c r="O673" s="29"/>
      <c r="P673" s="26"/>
      <c r="Q673" s="26"/>
      <c r="R673" s="26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>
      <c r="A674" s="39"/>
      <c r="B674" s="46"/>
      <c r="C674" s="46"/>
      <c r="D674" s="39"/>
      <c r="E674" s="39"/>
      <c r="F674" s="42"/>
      <c r="G674" s="42"/>
      <c r="H674" s="42"/>
      <c r="I674" s="42"/>
      <c r="J674" s="39"/>
      <c r="K674" s="42"/>
      <c r="L674" s="47"/>
      <c r="M674" s="43"/>
      <c r="N674" s="44"/>
      <c r="O674" s="29"/>
      <c r="P674" s="26"/>
      <c r="Q674" s="26"/>
      <c r="R674" s="26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>
      <c r="A675" s="39"/>
      <c r="B675" s="46"/>
      <c r="C675" s="46"/>
      <c r="D675" s="39"/>
      <c r="E675" s="39"/>
      <c r="F675" s="42"/>
      <c r="G675" s="42"/>
      <c r="H675" s="42"/>
      <c r="I675" s="42"/>
      <c r="J675" s="39"/>
      <c r="K675" s="42"/>
      <c r="L675" s="47"/>
      <c r="M675" s="43"/>
      <c r="N675" s="44"/>
      <c r="O675" s="29"/>
      <c r="P675" s="26"/>
      <c r="Q675" s="26"/>
      <c r="R675" s="26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>
      <c r="A676" s="39"/>
      <c r="B676" s="46"/>
      <c r="C676" s="46"/>
      <c r="D676" s="39"/>
      <c r="E676" s="39"/>
      <c r="F676" s="42"/>
      <c r="G676" s="42"/>
      <c r="H676" s="42"/>
      <c r="I676" s="42"/>
      <c r="J676" s="39"/>
      <c r="K676" s="42"/>
      <c r="L676" s="47"/>
      <c r="M676" s="43"/>
      <c r="N676" s="44"/>
      <c r="O676" s="29"/>
      <c r="P676" s="26"/>
      <c r="Q676" s="26"/>
      <c r="R676" s="26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>
      <c r="A677" s="39"/>
      <c r="B677" s="46"/>
      <c r="C677" s="46"/>
      <c r="D677" s="39"/>
      <c r="E677" s="39"/>
      <c r="F677" s="42"/>
      <c r="G677" s="42"/>
      <c r="H677" s="42"/>
      <c r="I677" s="42"/>
      <c r="J677" s="39"/>
      <c r="K677" s="42"/>
      <c r="L677" s="47"/>
      <c r="M677" s="43"/>
      <c r="N677" s="44"/>
      <c r="O677" s="29"/>
      <c r="P677" s="26"/>
      <c r="Q677" s="26"/>
      <c r="R677" s="26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>
      <c r="A678" s="39"/>
      <c r="B678" s="46"/>
      <c r="C678" s="46"/>
      <c r="D678" s="39"/>
      <c r="E678" s="39"/>
      <c r="F678" s="42"/>
      <c r="G678" s="42"/>
      <c r="H678" s="42"/>
      <c r="I678" s="42"/>
      <c r="J678" s="39"/>
      <c r="K678" s="42"/>
      <c r="L678" s="47"/>
      <c r="M678" s="43"/>
      <c r="N678" s="44"/>
      <c r="O678" s="29"/>
      <c r="P678" s="26"/>
      <c r="Q678" s="26"/>
      <c r="R678" s="26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>
      <c r="A679" s="39"/>
      <c r="B679" s="46"/>
      <c r="C679" s="46"/>
      <c r="D679" s="39"/>
      <c r="E679" s="39"/>
      <c r="F679" s="42"/>
      <c r="G679" s="42"/>
      <c r="H679" s="42"/>
      <c r="I679" s="42"/>
      <c r="J679" s="39"/>
      <c r="K679" s="42"/>
      <c r="L679" s="47"/>
      <c r="M679" s="43"/>
      <c r="N679" s="44"/>
      <c r="O679" s="29"/>
      <c r="P679" s="26"/>
      <c r="Q679" s="26"/>
      <c r="R679" s="26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>
      <c r="A680" s="39"/>
      <c r="B680" s="46"/>
      <c r="C680" s="46"/>
      <c r="D680" s="39"/>
      <c r="E680" s="39"/>
      <c r="F680" s="42"/>
      <c r="G680" s="42"/>
      <c r="H680" s="42"/>
      <c r="I680" s="42"/>
      <c r="J680" s="39"/>
      <c r="K680" s="42"/>
      <c r="L680" s="47"/>
      <c r="M680" s="43"/>
      <c r="N680" s="44"/>
      <c r="O680" s="29"/>
      <c r="P680" s="26"/>
      <c r="Q680" s="26"/>
      <c r="R680" s="26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>
      <c r="A681" s="39"/>
      <c r="B681" s="46"/>
      <c r="C681" s="46"/>
      <c r="D681" s="39"/>
      <c r="E681" s="39"/>
      <c r="F681" s="42"/>
      <c r="G681" s="42"/>
      <c r="H681" s="42"/>
      <c r="I681" s="42"/>
      <c r="J681" s="39"/>
      <c r="K681" s="42"/>
      <c r="L681" s="47"/>
      <c r="M681" s="43"/>
      <c r="N681" s="44"/>
      <c r="O681" s="29"/>
      <c r="P681" s="26"/>
      <c r="Q681" s="26"/>
      <c r="R681" s="26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>
      <c r="A682" s="39"/>
      <c r="B682" s="46"/>
      <c r="C682" s="46"/>
      <c r="D682" s="39"/>
      <c r="E682" s="39"/>
      <c r="F682" s="42"/>
      <c r="G682" s="42"/>
      <c r="H682" s="42"/>
      <c r="I682" s="42"/>
      <c r="J682" s="39"/>
      <c r="K682" s="42"/>
      <c r="L682" s="47"/>
      <c r="M682" s="43"/>
      <c r="N682" s="44"/>
      <c r="O682" s="29"/>
      <c r="P682" s="26"/>
      <c r="Q682" s="26"/>
      <c r="R682" s="26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>
      <c r="A683" s="39"/>
      <c r="B683" s="46"/>
      <c r="C683" s="46"/>
      <c r="D683" s="39"/>
      <c r="E683" s="39"/>
      <c r="F683" s="42"/>
      <c r="G683" s="42"/>
      <c r="H683" s="42"/>
      <c r="I683" s="42"/>
      <c r="J683" s="39"/>
      <c r="K683" s="42"/>
      <c r="L683" s="47"/>
      <c r="M683" s="43"/>
      <c r="N683" s="44"/>
      <c r="O683" s="29"/>
      <c r="P683" s="26"/>
      <c r="Q683" s="26"/>
      <c r="R683" s="26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>
      <c r="A684" s="39"/>
      <c r="B684" s="46"/>
      <c r="C684" s="46"/>
      <c r="D684" s="39"/>
      <c r="E684" s="39"/>
      <c r="F684" s="42"/>
      <c r="G684" s="42"/>
      <c r="H684" s="42"/>
      <c r="I684" s="42"/>
      <c r="J684" s="39"/>
      <c r="K684" s="42"/>
      <c r="L684" s="47"/>
      <c r="M684" s="43"/>
      <c r="N684" s="44"/>
      <c r="O684" s="29"/>
      <c r="P684" s="26"/>
      <c r="Q684" s="26"/>
      <c r="R684" s="26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>
      <c r="A685" s="39"/>
      <c r="B685" s="46"/>
      <c r="C685" s="46"/>
      <c r="D685" s="39"/>
      <c r="E685" s="39"/>
      <c r="F685" s="42"/>
      <c r="G685" s="42"/>
      <c r="H685" s="42"/>
      <c r="I685" s="42"/>
      <c r="J685" s="39"/>
      <c r="K685" s="42"/>
      <c r="L685" s="47"/>
      <c r="M685" s="43"/>
      <c r="N685" s="44"/>
      <c r="O685" s="29"/>
      <c r="P685" s="26"/>
      <c r="Q685" s="26"/>
      <c r="R685" s="26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>
      <c r="A686" s="39"/>
      <c r="B686" s="46"/>
      <c r="C686" s="46"/>
      <c r="D686" s="39"/>
      <c r="E686" s="39"/>
      <c r="F686" s="42"/>
      <c r="G686" s="42"/>
      <c r="H686" s="42"/>
      <c r="I686" s="42"/>
      <c r="J686" s="39"/>
      <c r="K686" s="42"/>
      <c r="L686" s="47"/>
      <c r="M686" s="43"/>
      <c r="N686" s="44"/>
      <c r="O686" s="29"/>
      <c r="P686" s="26"/>
      <c r="Q686" s="26"/>
      <c r="R686" s="26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>
      <c r="A687" s="39"/>
      <c r="B687" s="46"/>
      <c r="C687" s="46"/>
      <c r="D687" s="39"/>
      <c r="E687" s="39"/>
      <c r="F687" s="42"/>
      <c r="G687" s="42"/>
      <c r="H687" s="42"/>
      <c r="I687" s="42"/>
      <c r="J687" s="39"/>
      <c r="K687" s="42"/>
      <c r="L687" s="47"/>
      <c r="M687" s="43"/>
      <c r="N687" s="44"/>
      <c r="O687" s="29"/>
      <c r="P687" s="26"/>
      <c r="Q687" s="26"/>
      <c r="R687" s="26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>
      <c r="A688" s="39"/>
      <c r="B688" s="46"/>
      <c r="C688" s="46"/>
      <c r="D688" s="39"/>
      <c r="E688" s="39"/>
      <c r="F688" s="42"/>
      <c r="G688" s="42"/>
      <c r="H688" s="42"/>
      <c r="I688" s="42"/>
      <c r="J688" s="39"/>
      <c r="K688" s="42"/>
      <c r="L688" s="47"/>
      <c r="M688" s="43"/>
      <c r="N688" s="44"/>
      <c r="O688" s="29"/>
      <c r="P688" s="26"/>
      <c r="Q688" s="26"/>
      <c r="R688" s="26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>
      <c r="A689" s="39"/>
      <c r="B689" s="46"/>
      <c r="C689" s="46"/>
      <c r="D689" s="39"/>
      <c r="E689" s="39"/>
      <c r="F689" s="42"/>
      <c r="G689" s="42"/>
      <c r="H689" s="42"/>
      <c r="I689" s="42"/>
      <c r="J689" s="39"/>
      <c r="K689" s="42"/>
      <c r="L689" s="47"/>
      <c r="M689" s="43"/>
      <c r="N689" s="44"/>
      <c r="O689" s="29"/>
      <c r="P689" s="26"/>
      <c r="Q689" s="26"/>
      <c r="R689" s="26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>
      <c r="A690" s="39"/>
      <c r="B690" s="46"/>
      <c r="C690" s="46"/>
      <c r="D690" s="39"/>
      <c r="E690" s="39"/>
      <c r="F690" s="42"/>
      <c r="G690" s="42"/>
      <c r="H690" s="42"/>
      <c r="I690" s="42"/>
      <c r="J690" s="39"/>
      <c r="K690" s="42"/>
      <c r="L690" s="47"/>
      <c r="M690" s="43"/>
      <c r="N690" s="44"/>
      <c r="O690" s="29"/>
      <c r="P690" s="26"/>
      <c r="Q690" s="26"/>
      <c r="R690" s="26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>
      <c r="A691" s="39"/>
      <c r="B691" s="46"/>
      <c r="C691" s="46"/>
      <c r="D691" s="39"/>
      <c r="E691" s="39"/>
      <c r="F691" s="42"/>
      <c r="G691" s="42"/>
      <c r="H691" s="42"/>
      <c r="I691" s="42"/>
      <c r="J691" s="39"/>
      <c r="K691" s="42"/>
      <c r="L691" s="47"/>
      <c r="M691" s="43"/>
      <c r="N691" s="44"/>
      <c r="O691" s="29"/>
      <c r="P691" s="26"/>
      <c r="Q691" s="26"/>
      <c r="R691" s="26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>
      <c r="A692" s="39"/>
      <c r="B692" s="46"/>
      <c r="C692" s="46"/>
      <c r="D692" s="39"/>
      <c r="E692" s="39"/>
      <c r="F692" s="42"/>
      <c r="G692" s="42"/>
      <c r="H692" s="42"/>
      <c r="I692" s="42"/>
      <c r="J692" s="39"/>
      <c r="K692" s="42"/>
      <c r="L692" s="47"/>
      <c r="M692" s="43"/>
      <c r="N692" s="44"/>
      <c r="O692" s="29"/>
      <c r="P692" s="26"/>
      <c r="Q692" s="26"/>
      <c r="R692" s="26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>
      <c r="A693" s="39"/>
      <c r="B693" s="46"/>
      <c r="C693" s="46"/>
      <c r="D693" s="39"/>
      <c r="E693" s="39"/>
      <c r="F693" s="42"/>
      <c r="G693" s="42"/>
      <c r="H693" s="42"/>
      <c r="I693" s="42"/>
      <c r="J693" s="39"/>
      <c r="K693" s="42"/>
      <c r="L693" s="47"/>
      <c r="M693" s="43"/>
      <c r="N693" s="44"/>
      <c r="O693" s="29"/>
      <c r="P693" s="26"/>
      <c r="Q693" s="26"/>
      <c r="R693" s="26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>
      <c r="A694" s="39"/>
      <c r="B694" s="46"/>
      <c r="C694" s="46"/>
      <c r="D694" s="39"/>
      <c r="E694" s="39"/>
      <c r="F694" s="42"/>
      <c r="G694" s="42"/>
      <c r="H694" s="42"/>
      <c r="I694" s="42"/>
      <c r="J694" s="39"/>
      <c r="K694" s="42"/>
      <c r="L694" s="47"/>
      <c r="M694" s="43"/>
      <c r="N694" s="44"/>
      <c r="O694" s="29"/>
      <c r="P694" s="26"/>
      <c r="Q694" s="26"/>
      <c r="R694" s="26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>
      <c r="A695" s="39"/>
      <c r="B695" s="46"/>
      <c r="C695" s="46"/>
      <c r="D695" s="39"/>
      <c r="E695" s="39"/>
      <c r="F695" s="42"/>
      <c r="G695" s="42"/>
      <c r="H695" s="42"/>
      <c r="I695" s="42"/>
      <c r="J695" s="39"/>
      <c r="K695" s="42"/>
      <c r="L695" s="47"/>
      <c r="M695" s="43"/>
      <c r="N695" s="44"/>
      <c r="O695" s="29"/>
      <c r="P695" s="26"/>
      <c r="Q695" s="26"/>
      <c r="R695" s="26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>
      <c r="A696" s="39"/>
      <c r="B696" s="46"/>
      <c r="C696" s="46"/>
      <c r="D696" s="39"/>
      <c r="E696" s="39"/>
      <c r="F696" s="42"/>
      <c r="G696" s="42"/>
      <c r="H696" s="42"/>
      <c r="I696" s="42"/>
      <c r="J696" s="39"/>
      <c r="K696" s="42"/>
      <c r="L696" s="47"/>
      <c r="M696" s="43"/>
      <c r="N696" s="44"/>
      <c r="O696" s="29"/>
      <c r="P696" s="26"/>
      <c r="Q696" s="26"/>
      <c r="R696" s="26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>
      <c r="A697" s="39"/>
      <c r="B697" s="46"/>
      <c r="C697" s="46"/>
      <c r="D697" s="39"/>
      <c r="E697" s="39"/>
      <c r="F697" s="42"/>
      <c r="G697" s="42"/>
      <c r="H697" s="42"/>
      <c r="I697" s="42"/>
      <c r="J697" s="39"/>
      <c r="K697" s="42"/>
      <c r="L697" s="47"/>
      <c r="M697" s="43"/>
      <c r="N697" s="44"/>
      <c r="O697" s="29"/>
      <c r="P697" s="26"/>
      <c r="Q697" s="26"/>
      <c r="R697" s="26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>
      <c r="A698" s="39"/>
      <c r="B698" s="46"/>
      <c r="C698" s="46"/>
      <c r="D698" s="39"/>
      <c r="E698" s="39"/>
      <c r="F698" s="42"/>
      <c r="G698" s="42"/>
      <c r="H698" s="42"/>
      <c r="I698" s="42"/>
      <c r="J698" s="39"/>
      <c r="K698" s="42"/>
      <c r="L698" s="47"/>
      <c r="M698" s="43"/>
      <c r="N698" s="44"/>
      <c r="O698" s="29"/>
      <c r="P698" s="26"/>
      <c r="Q698" s="26"/>
      <c r="R698" s="26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>
      <c r="A699" s="39"/>
      <c r="B699" s="46"/>
      <c r="C699" s="46"/>
      <c r="D699" s="39"/>
      <c r="E699" s="39"/>
      <c r="F699" s="42"/>
      <c r="G699" s="42"/>
      <c r="H699" s="42"/>
      <c r="I699" s="42"/>
      <c r="J699" s="39"/>
      <c r="K699" s="42"/>
      <c r="L699" s="47"/>
      <c r="M699" s="43"/>
      <c r="N699" s="44"/>
      <c r="O699" s="29"/>
      <c r="P699" s="26"/>
      <c r="Q699" s="26"/>
      <c r="R699" s="26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>
      <c r="A700" s="39"/>
      <c r="B700" s="46"/>
      <c r="C700" s="46"/>
      <c r="D700" s="39"/>
      <c r="E700" s="39"/>
      <c r="F700" s="42"/>
      <c r="G700" s="42"/>
      <c r="H700" s="42"/>
      <c r="I700" s="42"/>
      <c r="J700" s="39"/>
      <c r="K700" s="42"/>
      <c r="L700" s="47"/>
      <c r="M700" s="43"/>
      <c r="N700" s="44"/>
      <c r="O700" s="29"/>
      <c r="P700" s="26"/>
      <c r="Q700" s="26"/>
      <c r="R700" s="26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>
      <c r="A701" s="39"/>
      <c r="B701" s="46"/>
      <c r="C701" s="46"/>
      <c r="D701" s="39"/>
      <c r="E701" s="39"/>
      <c r="F701" s="42"/>
      <c r="G701" s="42"/>
      <c r="H701" s="42"/>
      <c r="I701" s="42"/>
      <c r="J701" s="39"/>
      <c r="K701" s="42"/>
      <c r="L701" s="47"/>
      <c r="M701" s="43"/>
      <c r="N701" s="44"/>
      <c r="O701" s="29"/>
      <c r="P701" s="26"/>
      <c r="Q701" s="26"/>
      <c r="R701" s="26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>
      <c r="A702" s="39"/>
      <c r="B702" s="46"/>
      <c r="C702" s="46"/>
      <c r="D702" s="39"/>
      <c r="E702" s="39"/>
      <c r="F702" s="42"/>
      <c r="G702" s="42"/>
      <c r="H702" s="42"/>
      <c r="I702" s="42"/>
      <c r="J702" s="39"/>
      <c r="K702" s="42"/>
      <c r="L702" s="47"/>
      <c r="M702" s="43"/>
      <c r="N702" s="44"/>
      <c r="O702" s="29"/>
      <c r="P702" s="26"/>
      <c r="Q702" s="26"/>
      <c r="R702" s="26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>
      <c r="A703" s="39"/>
      <c r="B703" s="46"/>
      <c r="C703" s="46"/>
      <c r="D703" s="39"/>
      <c r="E703" s="39"/>
      <c r="F703" s="42"/>
      <c r="G703" s="42"/>
      <c r="H703" s="42"/>
      <c r="I703" s="42"/>
      <c r="J703" s="39"/>
      <c r="K703" s="42"/>
      <c r="L703" s="47"/>
      <c r="M703" s="43"/>
      <c r="N703" s="44"/>
      <c r="O703" s="29"/>
      <c r="P703" s="26"/>
      <c r="Q703" s="26"/>
      <c r="R703" s="26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>
      <c r="A704" s="39"/>
      <c r="B704" s="46"/>
      <c r="C704" s="46"/>
      <c r="D704" s="39"/>
      <c r="E704" s="39"/>
      <c r="F704" s="42"/>
      <c r="G704" s="42"/>
      <c r="H704" s="42"/>
      <c r="I704" s="42"/>
      <c r="J704" s="39"/>
      <c r="K704" s="42"/>
      <c r="L704" s="47"/>
      <c r="M704" s="43"/>
      <c r="N704" s="44"/>
      <c r="O704" s="29"/>
      <c r="P704" s="26"/>
      <c r="Q704" s="26"/>
      <c r="R704" s="26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>
      <c r="A705" s="39"/>
      <c r="B705" s="46"/>
      <c r="C705" s="46"/>
      <c r="D705" s="39"/>
      <c r="E705" s="39"/>
      <c r="F705" s="42"/>
      <c r="G705" s="42"/>
      <c r="H705" s="42"/>
      <c r="I705" s="42"/>
      <c r="J705" s="39"/>
      <c r="K705" s="42"/>
      <c r="L705" s="47"/>
      <c r="M705" s="43"/>
      <c r="N705" s="44"/>
      <c r="O705" s="29"/>
      <c r="P705" s="26"/>
      <c r="Q705" s="26"/>
      <c r="R705" s="26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>
      <c r="A706" s="39"/>
      <c r="B706" s="46"/>
      <c r="C706" s="46"/>
      <c r="D706" s="39"/>
      <c r="E706" s="39"/>
      <c r="F706" s="42"/>
      <c r="G706" s="42"/>
      <c r="H706" s="42"/>
      <c r="I706" s="42"/>
      <c r="J706" s="39"/>
      <c r="K706" s="42"/>
      <c r="L706" s="47"/>
      <c r="M706" s="43"/>
      <c r="N706" s="44"/>
      <c r="O706" s="29"/>
      <c r="P706" s="26"/>
      <c r="Q706" s="26"/>
      <c r="R706" s="26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>
      <c r="A707" s="39"/>
      <c r="B707" s="46"/>
      <c r="C707" s="46"/>
      <c r="D707" s="39"/>
      <c r="E707" s="39"/>
      <c r="F707" s="42"/>
      <c r="G707" s="42"/>
      <c r="H707" s="42"/>
      <c r="I707" s="42"/>
      <c r="J707" s="39"/>
      <c r="K707" s="42"/>
      <c r="L707" s="47"/>
      <c r="M707" s="43"/>
      <c r="N707" s="44"/>
      <c r="O707" s="29"/>
      <c r="P707" s="26"/>
      <c r="Q707" s="26"/>
      <c r="R707" s="26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>
      <c r="A708" s="39"/>
      <c r="B708" s="46"/>
      <c r="C708" s="46"/>
      <c r="D708" s="39"/>
      <c r="E708" s="39"/>
      <c r="F708" s="42"/>
      <c r="G708" s="42"/>
      <c r="H708" s="42"/>
      <c r="I708" s="42"/>
      <c r="J708" s="39"/>
      <c r="K708" s="42"/>
      <c r="L708" s="47"/>
      <c r="M708" s="43"/>
      <c r="N708" s="44"/>
      <c r="O708" s="29"/>
      <c r="P708" s="26"/>
      <c r="Q708" s="26"/>
      <c r="R708" s="26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>
      <c r="A709" s="39"/>
      <c r="B709" s="46"/>
      <c r="C709" s="46"/>
      <c r="D709" s="39"/>
      <c r="E709" s="39"/>
      <c r="F709" s="42"/>
      <c r="G709" s="42"/>
      <c r="H709" s="42"/>
      <c r="I709" s="42"/>
      <c r="J709" s="39"/>
      <c r="K709" s="42"/>
      <c r="L709" s="47"/>
      <c r="M709" s="43"/>
      <c r="N709" s="44"/>
      <c r="O709" s="29"/>
      <c r="P709" s="26"/>
      <c r="Q709" s="26"/>
      <c r="R709" s="26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>
      <c r="A710" s="39"/>
      <c r="B710" s="46"/>
      <c r="C710" s="46"/>
      <c r="D710" s="39"/>
      <c r="E710" s="39"/>
      <c r="F710" s="42"/>
      <c r="G710" s="42"/>
      <c r="H710" s="42"/>
      <c r="I710" s="42"/>
      <c r="J710" s="39"/>
      <c r="K710" s="42"/>
      <c r="L710" s="47"/>
      <c r="M710" s="43"/>
      <c r="N710" s="44"/>
      <c r="O710" s="29"/>
      <c r="P710" s="26"/>
      <c r="Q710" s="26"/>
      <c r="R710" s="26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>
      <c r="A711" s="39"/>
      <c r="B711" s="46"/>
      <c r="C711" s="46"/>
      <c r="D711" s="39"/>
      <c r="E711" s="39"/>
      <c r="F711" s="42"/>
      <c r="G711" s="42"/>
      <c r="H711" s="42"/>
      <c r="I711" s="42"/>
      <c r="J711" s="39"/>
      <c r="K711" s="42"/>
      <c r="L711" s="47"/>
      <c r="M711" s="43"/>
      <c r="N711" s="44"/>
      <c r="O711" s="29"/>
      <c r="P711" s="26"/>
      <c r="Q711" s="26"/>
      <c r="R711" s="26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>
      <c r="A712" s="39"/>
      <c r="B712" s="46"/>
      <c r="C712" s="46"/>
      <c r="D712" s="39"/>
      <c r="E712" s="39"/>
      <c r="F712" s="42"/>
      <c r="G712" s="42"/>
      <c r="H712" s="42"/>
      <c r="I712" s="42"/>
      <c r="J712" s="39"/>
      <c r="K712" s="42"/>
      <c r="L712" s="47"/>
      <c r="M712" s="43"/>
      <c r="N712" s="44"/>
      <c r="O712" s="29"/>
      <c r="P712" s="26"/>
      <c r="Q712" s="26"/>
      <c r="R712" s="26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>
      <c r="A713" s="39"/>
      <c r="B713" s="46"/>
      <c r="C713" s="46"/>
      <c r="D713" s="39"/>
      <c r="E713" s="39"/>
      <c r="F713" s="42"/>
      <c r="G713" s="42"/>
      <c r="H713" s="42"/>
      <c r="I713" s="42"/>
      <c r="J713" s="39"/>
      <c r="K713" s="42"/>
      <c r="L713" s="47"/>
      <c r="M713" s="43"/>
      <c r="N713" s="44"/>
      <c r="O713" s="29"/>
      <c r="P713" s="26"/>
      <c r="Q713" s="26"/>
      <c r="R713" s="26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>
      <c r="A714" s="39"/>
      <c r="B714" s="46"/>
      <c r="C714" s="46"/>
      <c r="D714" s="39"/>
      <c r="E714" s="39"/>
      <c r="F714" s="42"/>
      <c r="G714" s="42"/>
      <c r="H714" s="42"/>
      <c r="I714" s="42"/>
      <c r="J714" s="39"/>
      <c r="K714" s="42"/>
      <c r="L714" s="47"/>
      <c r="M714" s="43"/>
      <c r="N714" s="44"/>
      <c r="O714" s="29"/>
      <c r="P714" s="26"/>
      <c r="Q714" s="26"/>
      <c r="R714" s="26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>
      <c r="A715" s="39"/>
      <c r="B715" s="46"/>
      <c r="C715" s="46"/>
      <c r="D715" s="39"/>
      <c r="E715" s="39"/>
      <c r="F715" s="42"/>
      <c r="G715" s="42"/>
      <c r="H715" s="42"/>
      <c r="I715" s="42"/>
      <c r="J715" s="39"/>
      <c r="K715" s="42"/>
      <c r="L715" s="47"/>
      <c r="M715" s="43"/>
      <c r="N715" s="44"/>
      <c r="O715" s="29"/>
      <c r="P715" s="26"/>
      <c r="Q715" s="26"/>
      <c r="R715" s="26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>
      <c r="A716" s="39"/>
      <c r="B716" s="46"/>
      <c r="C716" s="46"/>
      <c r="D716" s="39"/>
      <c r="E716" s="39"/>
      <c r="F716" s="42"/>
      <c r="G716" s="42"/>
      <c r="H716" s="42"/>
      <c r="I716" s="42"/>
      <c r="J716" s="39"/>
      <c r="K716" s="42"/>
      <c r="L716" s="47"/>
      <c r="M716" s="43"/>
      <c r="N716" s="44"/>
      <c r="O716" s="29"/>
      <c r="P716" s="26"/>
      <c r="Q716" s="26"/>
      <c r="R716" s="26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>
      <c r="A717" s="39"/>
      <c r="B717" s="46"/>
      <c r="C717" s="46"/>
      <c r="D717" s="39"/>
      <c r="E717" s="39"/>
      <c r="F717" s="42"/>
      <c r="G717" s="42"/>
      <c r="H717" s="42"/>
      <c r="I717" s="42"/>
      <c r="J717" s="39"/>
      <c r="K717" s="42"/>
      <c r="L717" s="47"/>
      <c r="M717" s="43"/>
      <c r="N717" s="44"/>
      <c r="O717" s="29"/>
      <c r="P717" s="26"/>
      <c r="Q717" s="26"/>
      <c r="R717" s="26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>
      <c r="A718" s="39"/>
      <c r="B718" s="46"/>
      <c r="C718" s="46"/>
      <c r="D718" s="39"/>
      <c r="E718" s="39"/>
      <c r="F718" s="42"/>
      <c r="G718" s="42"/>
      <c r="H718" s="42"/>
      <c r="I718" s="42"/>
      <c r="J718" s="39"/>
      <c r="K718" s="42"/>
      <c r="L718" s="47"/>
      <c r="M718" s="43"/>
      <c r="N718" s="44"/>
      <c r="O718" s="29"/>
      <c r="P718" s="26"/>
      <c r="Q718" s="26"/>
      <c r="R718" s="26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>
      <c r="A719" s="39"/>
      <c r="B719" s="46"/>
      <c r="C719" s="46"/>
      <c r="D719" s="39"/>
      <c r="E719" s="39"/>
      <c r="F719" s="42"/>
      <c r="G719" s="42"/>
      <c r="H719" s="42"/>
      <c r="I719" s="42"/>
      <c r="J719" s="39"/>
      <c r="K719" s="42"/>
      <c r="L719" s="47"/>
      <c r="M719" s="43"/>
      <c r="N719" s="44"/>
      <c r="O719" s="29"/>
      <c r="P719" s="26"/>
      <c r="Q719" s="26"/>
      <c r="R719" s="26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>
      <c r="A720" s="39"/>
      <c r="B720" s="46"/>
      <c r="C720" s="46"/>
      <c r="D720" s="39"/>
      <c r="E720" s="39"/>
      <c r="F720" s="42"/>
      <c r="G720" s="42"/>
      <c r="H720" s="42"/>
      <c r="I720" s="42"/>
      <c r="J720" s="39"/>
      <c r="K720" s="42"/>
      <c r="L720" s="47"/>
      <c r="M720" s="43"/>
      <c r="N720" s="44"/>
      <c r="O720" s="29"/>
      <c r="P720" s="26"/>
      <c r="Q720" s="26"/>
      <c r="R720" s="26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>
      <c r="A721" s="39"/>
      <c r="B721" s="46"/>
      <c r="C721" s="46"/>
      <c r="D721" s="39"/>
      <c r="E721" s="39"/>
      <c r="F721" s="42"/>
      <c r="G721" s="42"/>
      <c r="H721" s="42"/>
      <c r="I721" s="42"/>
      <c r="J721" s="39"/>
      <c r="K721" s="42"/>
      <c r="L721" s="47"/>
      <c r="M721" s="43"/>
      <c r="N721" s="44"/>
      <c r="O721" s="29"/>
      <c r="P721" s="26"/>
      <c r="Q721" s="26"/>
      <c r="R721" s="26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>
      <c r="A722" s="39"/>
      <c r="B722" s="46"/>
      <c r="C722" s="46"/>
      <c r="D722" s="39"/>
      <c r="E722" s="39"/>
      <c r="F722" s="42"/>
      <c r="G722" s="42"/>
      <c r="H722" s="42"/>
      <c r="I722" s="42"/>
      <c r="J722" s="39"/>
      <c r="K722" s="42"/>
      <c r="L722" s="47"/>
      <c r="M722" s="43"/>
      <c r="N722" s="44"/>
      <c r="O722" s="29"/>
      <c r="P722" s="26"/>
      <c r="Q722" s="26"/>
      <c r="R722" s="26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>
      <c r="A723" s="39"/>
      <c r="B723" s="46"/>
      <c r="C723" s="46"/>
      <c r="D723" s="39"/>
      <c r="E723" s="39"/>
      <c r="F723" s="42"/>
      <c r="G723" s="42"/>
      <c r="H723" s="42"/>
      <c r="I723" s="42"/>
      <c r="J723" s="39"/>
      <c r="K723" s="42"/>
      <c r="L723" s="47"/>
      <c r="M723" s="43"/>
      <c r="N723" s="44"/>
      <c r="O723" s="29"/>
      <c r="P723" s="26"/>
      <c r="Q723" s="26"/>
      <c r="R723" s="26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>
      <c r="A724" s="39"/>
      <c r="B724" s="46"/>
      <c r="C724" s="46"/>
      <c r="D724" s="39"/>
      <c r="E724" s="39"/>
      <c r="F724" s="42"/>
      <c r="G724" s="42"/>
      <c r="H724" s="42"/>
      <c r="I724" s="42"/>
      <c r="J724" s="39"/>
      <c r="K724" s="42"/>
      <c r="L724" s="47"/>
      <c r="M724" s="43"/>
      <c r="N724" s="44"/>
      <c r="O724" s="29"/>
      <c r="P724" s="26"/>
      <c r="Q724" s="26"/>
      <c r="R724" s="26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>
      <c r="A725" s="39"/>
      <c r="B725" s="46"/>
      <c r="C725" s="46"/>
      <c r="D725" s="39"/>
      <c r="E725" s="39"/>
      <c r="F725" s="42"/>
      <c r="G725" s="42"/>
      <c r="H725" s="42"/>
      <c r="I725" s="42"/>
      <c r="J725" s="39"/>
      <c r="K725" s="42"/>
      <c r="L725" s="47"/>
      <c r="M725" s="43"/>
      <c r="N725" s="44"/>
      <c r="O725" s="29"/>
      <c r="P725" s="26"/>
      <c r="Q725" s="26"/>
      <c r="R725" s="26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>
      <c r="A726" s="39"/>
      <c r="B726" s="46"/>
      <c r="C726" s="46"/>
      <c r="D726" s="39"/>
      <c r="E726" s="39"/>
      <c r="F726" s="42"/>
      <c r="G726" s="42"/>
      <c r="H726" s="42"/>
      <c r="I726" s="42"/>
      <c r="J726" s="39"/>
      <c r="K726" s="42"/>
      <c r="L726" s="47"/>
      <c r="M726" s="43"/>
      <c r="N726" s="44"/>
      <c r="O726" s="29"/>
      <c r="P726" s="26"/>
      <c r="Q726" s="26"/>
      <c r="R726" s="26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>
      <c r="A727" s="39"/>
      <c r="B727" s="46"/>
      <c r="C727" s="46"/>
      <c r="D727" s="39"/>
      <c r="E727" s="39"/>
      <c r="F727" s="42"/>
      <c r="G727" s="42"/>
      <c r="H727" s="42"/>
      <c r="I727" s="42"/>
      <c r="J727" s="39"/>
      <c r="K727" s="42"/>
      <c r="L727" s="47"/>
      <c r="M727" s="43"/>
      <c r="N727" s="44"/>
      <c r="O727" s="29"/>
      <c r="P727" s="26"/>
      <c r="Q727" s="26"/>
      <c r="R727" s="26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>
      <c r="A728" s="39"/>
      <c r="B728" s="46"/>
      <c r="C728" s="46"/>
      <c r="D728" s="39"/>
      <c r="E728" s="39"/>
      <c r="F728" s="42"/>
      <c r="G728" s="42"/>
      <c r="H728" s="42"/>
      <c r="I728" s="42"/>
      <c r="J728" s="39"/>
      <c r="K728" s="42"/>
      <c r="L728" s="47"/>
      <c r="M728" s="43"/>
      <c r="N728" s="44"/>
      <c r="O728" s="29"/>
      <c r="P728" s="26"/>
      <c r="Q728" s="26"/>
      <c r="R728" s="26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>
      <c r="A729" s="39"/>
      <c r="B729" s="46"/>
      <c r="C729" s="46"/>
      <c r="D729" s="39"/>
      <c r="E729" s="39"/>
      <c r="F729" s="42"/>
      <c r="G729" s="42"/>
      <c r="H729" s="42"/>
      <c r="I729" s="42"/>
      <c r="J729" s="39"/>
      <c r="K729" s="42"/>
      <c r="L729" s="47"/>
      <c r="M729" s="43"/>
      <c r="N729" s="44"/>
      <c r="O729" s="29"/>
      <c r="P729" s="26"/>
      <c r="Q729" s="26"/>
      <c r="R729" s="26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>
      <c r="A730" s="39"/>
      <c r="B730" s="46"/>
      <c r="C730" s="46"/>
      <c r="D730" s="39"/>
      <c r="E730" s="39"/>
      <c r="F730" s="42"/>
      <c r="G730" s="42"/>
      <c r="H730" s="42"/>
      <c r="I730" s="42"/>
      <c r="J730" s="39"/>
      <c r="K730" s="42"/>
      <c r="L730" s="47"/>
      <c r="M730" s="43"/>
      <c r="N730" s="44"/>
      <c r="O730" s="29"/>
      <c r="P730" s="26"/>
      <c r="Q730" s="26"/>
      <c r="R730" s="26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>
      <c r="A731" s="39"/>
      <c r="B731" s="46"/>
      <c r="C731" s="46"/>
      <c r="D731" s="39"/>
      <c r="E731" s="39"/>
      <c r="F731" s="42"/>
      <c r="G731" s="42"/>
      <c r="H731" s="42"/>
      <c r="I731" s="42"/>
      <c r="J731" s="39"/>
      <c r="K731" s="42"/>
      <c r="L731" s="47"/>
      <c r="M731" s="43"/>
      <c r="N731" s="44"/>
      <c r="O731" s="29"/>
      <c r="P731" s="26"/>
      <c r="Q731" s="26"/>
      <c r="R731" s="26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>
      <c r="A732" s="39"/>
      <c r="B732" s="46"/>
      <c r="C732" s="46"/>
      <c r="D732" s="39"/>
      <c r="E732" s="39"/>
      <c r="F732" s="42"/>
      <c r="G732" s="42"/>
      <c r="H732" s="42"/>
      <c r="I732" s="42"/>
      <c r="J732" s="39"/>
      <c r="K732" s="42"/>
      <c r="L732" s="47"/>
      <c r="M732" s="43"/>
      <c r="N732" s="44"/>
      <c r="O732" s="29"/>
      <c r="P732" s="26"/>
      <c r="Q732" s="26"/>
      <c r="R732" s="26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>
      <c r="A733" s="39"/>
      <c r="B733" s="46"/>
      <c r="C733" s="46"/>
      <c r="D733" s="39"/>
      <c r="E733" s="39"/>
      <c r="F733" s="42"/>
      <c r="G733" s="42"/>
      <c r="H733" s="42"/>
      <c r="I733" s="42"/>
      <c r="J733" s="39"/>
      <c r="K733" s="42"/>
      <c r="L733" s="47"/>
      <c r="M733" s="43"/>
      <c r="N733" s="44"/>
      <c r="O733" s="29"/>
      <c r="P733" s="26"/>
      <c r="Q733" s="26"/>
      <c r="R733" s="26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>
      <c r="A734" s="39"/>
      <c r="B734" s="46"/>
      <c r="C734" s="46"/>
      <c r="D734" s="39"/>
      <c r="E734" s="39"/>
      <c r="F734" s="42"/>
      <c r="G734" s="42"/>
      <c r="H734" s="42"/>
      <c r="I734" s="42"/>
      <c r="J734" s="39"/>
      <c r="K734" s="42"/>
      <c r="L734" s="47"/>
      <c r="M734" s="43"/>
      <c r="N734" s="44"/>
      <c r="O734" s="29"/>
      <c r="P734" s="26"/>
      <c r="Q734" s="26"/>
      <c r="R734" s="26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>
      <c r="A735" s="39"/>
      <c r="B735" s="46"/>
      <c r="C735" s="46"/>
      <c r="D735" s="39"/>
      <c r="E735" s="39"/>
      <c r="F735" s="42"/>
      <c r="G735" s="42"/>
      <c r="H735" s="42"/>
      <c r="I735" s="42"/>
      <c r="J735" s="39"/>
      <c r="K735" s="42"/>
      <c r="L735" s="47"/>
      <c r="M735" s="43"/>
      <c r="N735" s="44"/>
      <c r="O735" s="29"/>
      <c r="P735" s="26"/>
      <c r="Q735" s="26"/>
      <c r="R735" s="26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>
      <c r="A736" s="39"/>
      <c r="B736" s="46"/>
      <c r="C736" s="46"/>
      <c r="D736" s="39"/>
      <c r="E736" s="39"/>
      <c r="F736" s="42"/>
      <c r="G736" s="42"/>
      <c r="H736" s="42"/>
      <c r="I736" s="42"/>
      <c r="J736" s="39"/>
      <c r="K736" s="42"/>
      <c r="L736" s="47"/>
      <c r="M736" s="43"/>
      <c r="N736" s="44"/>
      <c r="O736" s="29"/>
      <c r="P736" s="26"/>
      <c r="Q736" s="26"/>
      <c r="R736" s="26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>
      <c r="A737" s="39"/>
      <c r="B737" s="46"/>
      <c r="C737" s="46"/>
      <c r="D737" s="39"/>
      <c r="E737" s="39"/>
      <c r="F737" s="42"/>
      <c r="G737" s="42"/>
      <c r="H737" s="42"/>
      <c r="I737" s="42"/>
      <c r="J737" s="39"/>
      <c r="K737" s="42"/>
      <c r="L737" s="47"/>
      <c r="M737" s="43"/>
      <c r="N737" s="44"/>
      <c r="O737" s="29"/>
      <c r="P737" s="26"/>
      <c r="Q737" s="26"/>
      <c r="R737" s="26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>
      <c r="A738" s="39"/>
      <c r="B738" s="46"/>
      <c r="C738" s="46"/>
      <c r="D738" s="39"/>
      <c r="E738" s="39"/>
      <c r="F738" s="42"/>
      <c r="G738" s="42"/>
      <c r="H738" s="42"/>
      <c r="I738" s="42"/>
      <c r="J738" s="39"/>
      <c r="K738" s="42"/>
      <c r="L738" s="47"/>
      <c r="M738" s="43"/>
      <c r="N738" s="44"/>
      <c r="O738" s="29"/>
      <c r="P738" s="26"/>
      <c r="Q738" s="26"/>
      <c r="R738" s="26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>
      <c r="A739" s="39"/>
      <c r="B739" s="46"/>
      <c r="C739" s="46"/>
      <c r="D739" s="39"/>
      <c r="E739" s="39"/>
      <c r="F739" s="42"/>
      <c r="G739" s="42"/>
      <c r="H739" s="42"/>
      <c r="I739" s="42"/>
      <c r="J739" s="39"/>
      <c r="K739" s="42"/>
      <c r="L739" s="47"/>
      <c r="M739" s="43"/>
      <c r="N739" s="44"/>
      <c r="O739" s="29"/>
      <c r="P739" s="26"/>
      <c r="Q739" s="26"/>
      <c r="R739" s="26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>
      <c r="A740" s="39"/>
      <c r="B740" s="46"/>
      <c r="C740" s="46"/>
      <c r="D740" s="39"/>
      <c r="E740" s="39"/>
      <c r="F740" s="42"/>
      <c r="G740" s="42"/>
      <c r="H740" s="42"/>
      <c r="I740" s="42"/>
      <c r="J740" s="39"/>
      <c r="K740" s="42"/>
      <c r="L740" s="47"/>
      <c r="M740" s="43"/>
      <c r="N740" s="44"/>
      <c r="O740" s="29"/>
      <c r="P740" s="26"/>
      <c r="Q740" s="26"/>
      <c r="R740" s="26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>
      <c r="A741" s="39"/>
      <c r="B741" s="46"/>
      <c r="C741" s="46"/>
      <c r="D741" s="39"/>
      <c r="E741" s="39"/>
      <c r="F741" s="42"/>
      <c r="G741" s="42"/>
      <c r="H741" s="42"/>
      <c r="I741" s="42"/>
      <c r="J741" s="39"/>
      <c r="K741" s="42"/>
      <c r="L741" s="47"/>
      <c r="M741" s="43"/>
      <c r="N741" s="44"/>
      <c r="O741" s="29"/>
      <c r="P741" s="26"/>
      <c r="Q741" s="26"/>
      <c r="R741" s="26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>
      <c r="A742" s="39"/>
      <c r="B742" s="46"/>
      <c r="C742" s="46"/>
      <c r="D742" s="39"/>
      <c r="E742" s="39"/>
      <c r="F742" s="42"/>
      <c r="G742" s="42"/>
      <c r="H742" s="42"/>
      <c r="I742" s="42"/>
      <c r="J742" s="39"/>
      <c r="K742" s="42"/>
      <c r="L742" s="47"/>
      <c r="M742" s="43"/>
      <c r="N742" s="44"/>
      <c r="O742" s="29"/>
      <c r="P742" s="26"/>
      <c r="Q742" s="26"/>
      <c r="R742" s="26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>
      <c r="A743" s="39"/>
      <c r="B743" s="46"/>
      <c r="C743" s="46"/>
      <c r="D743" s="39"/>
      <c r="E743" s="39"/>
      <c r="F743" s="42"/>
      <c r="G743" s="42"/>
      <c r="H743" s="42"/>
      <c r="I743" s="42"/>
      <c r="J743" s="39"/>
      <c r="K743" s="42"/>
      <c r="L743" s="47"/>
      <c r="M743" s="43"/>
      <c r="N743" s="44"/>
      <c r="O743" s="29"/>
      <c r="P743" s="26"/>
      <c r="Q743" s="26"/>
      <c r="R743" s="26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>
      <c r="A744" s="39"/>
      <c r="B744" s="46"/>
      <c r="C744" s="46"/>
      <c r="D744" s="39"/>
      <c r="E744" s="39"/>
      <c r="F744" s="42"/>
      <c r="G744" s="42"/>
      <c r="H744" s="42"/>
      <c r="I744" s="42"/>
      <c r="J744" s="39"/>
      <c r="K744" s="42"/>
      <c r="L744" s="47"/>
      <c r="M744" s="43"/>
      <c r="N744" s="44"/>
      <c r="O744" s="29"/>
      <c r="P744" s="26"/>
      <c r="Q744" s="26"/>
      <c r="R744" s="26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>
      <c r="A745" s="39"/>
      <c r="B745" s="46"/>
      <c r="C745" s="46"/>
      <c r="D745" s="39"/>
      <c r="E745" s="39"/>
      <c r="F745" s="42"/>
      <c r="G745" s="42"/>
      <c r="H745" s="42"/>
      <c r="I745" s="42"/>
      <c r="J745" s="39"/>
      <c r="K745" s="42"/>
      <c r="L745" s="47"/>
      <c r="M745" s="43"/>
      <c r="N745" s="44"/>
      <c r="O745" s="29"/>
      <c r="P745" s="26"/>
      <c r="Q745" s="26"/>
      <c r="R745" s="26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>
      <c r="A746" s="39"/>
      <c r="B746" s="46"/>
      <c r="C746" s="46"/>
      <c r="D746" s="39"/>
      <c r="E746" s="39"/>
      <c r="F746" s="42"/>
      <c r="G746" s="42"/>
      <c r="H746" s="42"/>
      <c r="I746" s="42"/>
      <c r="J746" s="39"/>
      <c r="K746" s="42"/>
      <c r="L746" s="47"/>
      <c r="M746" s="43"/>
      <c r="N746" s="44"/>
      <c r="O746" s="29"/>
      <c r="P746" s="26"/>
      <c r="Q746" s="26"/>
      <c r="R746" s="26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>
      <c r="A747" s="39"/>
      <c r="B747" s="46"/>
      <c r="C747" s="46"/>
      <c r="D747" s="39"/>
      <c r="E747" s="39"/>
      <c r="F747" s="42"/>
      <c r="G747" s="42"/>
      <c r="H747" s="42"/>
      <c r="I747" s="42"/>
      <c r="J747" s="39"/>
      <c r="K747" s="42"/>
      <c r="L747" s="47"/>
      <c r="M747" s="43"/>
      <c r="N747" s="44"/>
      <c r="O747" s="29"/>
      <c r="P747" s="26"/>
      <c r="Q747" s="26"/>
      <c r="R747" s="26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>
      <c r="A748" s="39"/>
      <c r="B748" s="46"/>
      <c r="C748" s="46"/>
      <c r="D748" s="39"/>
      <c r="E748" s="39"/>
      <c r="F748" s="42"/>
      <c r="G748" s="42"/>
      <c r="H748" s="42"/>
      <c r="I748" s="42"/>
      <c r="J748" s="39"/>
      <c r="K748" s="42"/>
      <c r="L748" s="47"/>
      <c r="M748" s="43"/>
      <c r="N748" s="44"/>
      <c r="O748" s="29"/>
      <c r="P748" s="26"/>
      <c r="Q748" s="26"/>
      <c r="R748" s="26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>
      <c r="A749" s="39"/>
      <c r="B749" s="46"/>
      <c r="C749" s="46"/>
      <c r="D749" s="39"/>
      <c r="E749" s="39"/>
      <c r="F749" s="42"/>
      <c r="G749" s="42"/>
      <c r="H749" s="42"/>
      <c r="I749" s="42"/>
      <c r="J749" s="39"/>
      <c r="K749" s="42"/>
      <c r="L749" s="47"/>
      <c r="M749" s="43"/>
      <c r="N749" s="44"/>
      <c r="O749" s="29"/>
      <c r="P749" s="26"/>
      <c r="Q749" s="26"/>
      <c r="R749" s="26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>
      <c r="A750" s="39"/>
      <c r="B750" s="46"/>
      <c r="C750" s="46"/>
      <c r="D750" s="39"/>
      <c r="E750" s="39"/>
      <c r="F750" s="42"/>
      <c r="G750" s="42"/>
      <c r="H750" s="42"/>
      <c r="I750" s="42"/>
      <c r="J750" s="39"/>
      <c r="K750" s="42"/>
      <c r="L750" s="47"/>
      <c r="M750" s="43"/>
      <c r="N750" s="44"/>
      <c r="O750" s="29"/>
      <c r="P750" s="26"/>
      <c r="Q750" s="26"/>
      <c r="R750" s="26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>
      <c r="A751" s="39"/>
      <c r="B751" s="46"/>
      <c r="C751" s="46"/>
      <c r="D751" s="39"/>
      <c r="E751" s="39"/>
      <c r="F751" s="42"/>
      <c r="G751" s="42"/>
      <c r="H751" s="42"/>
      <c r="I751" s="42"/>
      <c r="J751" s="39"/>
      <c r="K751" s="42"/>
      <c r="L751" s="47"/>
      <c r="M751" s="43"/>
      <c r="N751" s="44"/>
      <c r="O751" s="29"/>
      <c r="P751" s="26"/>
      <c r="Q751" s="26"/>
      <c r="R751" s="26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>
      <c r="A752" s="39"/>
      <c r="B752" s="46"/>
      <c r="C752" s="46"/>
      <c r="D752" s="39"/>
      <c r="E752" s="39"/>
      <c r="F752" s="42"/>
      <c r="G752" s="42"/>
      <c r="H752" s="42"/>
      <c r="I752" s="42"/>
      <c r="J752" s="39"/>
      <c r="K752" s="42"/>
      <c r="L752" s="47"/>
      <c r="M752" s="43"/>
      <c r="N752" s="44"/>
      <c r="O752" s="29"/>
      <c r="P752" s="26"/>
      <c r="Q752" s="26"/>
      <c r="R752" s="26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>
      <c r="A753" s="39"/>
      <c r="B753" s="46"/>
      <c r="C753" s="46"/>
      <c r="D753" s="39"/>
      <c r="E753" s="39"/>
      <c r="F753" s="42"/>
      <c r="G753" s="42"/>
      <c r="H753" s="42"/>
      <c r="I753" s="42"/>
      <c r="J753" s="39"/>
      <c r="K753" s="42"/>
      <c r="L753" s="47"/>
      <c r="M753" s="43"/>
      <c r="N753" s="44"/>
      <c r="O753" s="29"/>
      <c r="P753" s="26"/>
      <c r="Q753" s="26"/>
      <c r="R753" s="26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>
      <c r="A754" s="39"/>
      <c r="B754" s="46"/>
      <c r="C754" s="46"/>
      <c r="D754" s="39"/>
      <c r="E754" s="39"/>
      <c r="F754" s="42"/>
      <c r="G754" s="42"/>
      <c r="H754" s="42"/>
      <c r="I754" s="42"/>
      <c r="J754" s="39"/>
      <c r="K754" s="42"/>
      <c r="L754" s="47"/>
      <c r="M754" s="43"/>
      <c r="N754" s="44"/>
      <c r="O754" s="29"/>
      <c r="P754" s="26"/>
      <c r="Q754" s="26"/>
      <c r="R754" s="26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>
      <c r="A755" s="39"/>
      <c r="B755" s="46"/>
      <c r="C755" s="46"/>
      <c r="D755" s="39"/>
      <c r="E755" s="39"/>
      <c r="F755" s="42"/>
      <c r="G755" s="42"/>
      <c r="H755" s="42"/>
      <c r="I755" s="42"/>
      <c r="J755" s="39"/>
      <c r="K755" s="42"/>
      <c r="L755" s="47"/>
      <c r="M755" s="43"/>
      <c r="N755" s="44"/>
      <c r="O755" s="29"/>
      <c r="P755" s="26"/>
      <c r="Q755" s="26"/>
      <c r="R755" s="26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>
      <c r="A756" s="39"/>
      <c r="B756" s="46"/>
      <c r="C756" s="46"/>
      <c r="D756" s="39"/>
      <c r="E756" s="39"/>
      <c r="F756" s="42"/>
      <c r="G756" s="42"/>
      <c r="H756" s="42"/>
      <c r="I756" s="42"/>
      <c r="J756" s="39"/>
      <c r="K756" s="42"/>
      <c r="L756" s="47"/>
      <c r="M756" s="43"/>
      <c r="N756" s="44"/>
      <c r="O756" s="29"/>
      <c r="P756" s="26"/>
      <c r="Q756" s="26"/>
      <c r="R756" s="26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>
      <c r="A757" s="39"/>
      <c r="B757" s="46"/>
      <c r="C757" s="46"/>
      <c r="D757" s="39"/>
      <c r="E757" s="39"/>
      <c r="F757" s="42"/>
      <c r="G757" s="42"/>
      <c r="H757" s="42"/>
      <c r="I757" s="42"/>
      <c r="J757" s="39"/>
      <c r="K757" s="42"/>
      <c r="L757" s="47"/>
      <c r="M757" s="43"/>
      <c r="N757" s="44"/>
      <c r="O757" s="29"/>
      <c r="P757" s="26"/>
      <c r="Q757" s="26"/>
      <c r="R757" s="26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>
      <c r="A758" s="39"/>
      <c r="B758" s="46"/>
      <c r="C758" s="46"/>
      <c r="D758" s="39"/>
      <c r="E758" s="39"/>
      <c r="F758" s="42"/>
      <c r="G758" s="42"/>
      <c r="H758" s="42"/>
      <c r="I758" s="42"/>
      <c r="J758" s="39"/>
      <c r="K758" s="42"/>
      <c r="L758" s="47"/>
      <c r="M758" s="43"/>
      <c r="N758" s="44"/>
      <c r="O758" s="29"/>
      <c r="P758" s="26"/>
      <c r="Q758" s="26"/>
      <c r="R758" s="26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>
      <c r="A759" s="39"/>
      <c r="B759" s="46"/>
      <c r="C759" s="46"/>
      <c r="D759" s="39"/>
      <c r="E759" s="39"/>
      <c r="F759" s="42"/>
      <c r="G759" s="42"/>
      <c r="H759" s="42"/>
      <c r="I759" s="42"/>
      <c r="J759" s="39"/>
      <c r="K759" s="42"/>
      <c r="L759" s="47"/>
      <c r="M759" s="43"/>
      <c r="N759" s="44"/>
      <c r="O759" s="29"/>
      <c r="P759" s="26"/>
      <c r="Q759" s="26"/>
      <c r="R759" s="26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>
      <c r="A760" s="39"/>
      <c r="B760" s="46"/>
      <c r="C760" s="46"/>
      <c r="D760" s="39"/>
      <c r="E760" s="39"/>
      <c r="F760" s="42"/>
      <c r="G760" s="42"/>
      <c r="H760" s="42"/>
      <c r="I760" s="42"/>
      <c r="J760" s="39"/>
      <c r="K760" s="42"/>
      <c r="L760" s="47"/>
      <c r="M760" s="43"/>
      <c r="N760" s="44"/>
      <c r="O760" s="29"/>
      <c r="P760" s="26"/>
      <c r="Q760" s="26"/>
      <c r="R760" s="26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>
      <c r="A761" s="39"/>
      <c r="B761" s="46"/>
      <c r="C761" s="46"/>
      <c r="D761" s="39"/>
      <c r="E761" s="39"/>
      <c r="F761" s="42"/>
      <c r="G761" s="42"/>
      <c r="H761" s="42"/>
      <c r="I761" s="42"/>
      <c r="J761" s="39"/>
      <c r="K761" s="42"/>
      <c r="L761" s="47"/>
      <c r="M761" s="43"/>
      <c r="N761" s="44"/>
      <c r="O761" s="29"/>
      <c r="P761" s="26"/>
      <c r="Q761" s="26"/>
      <c r="R761" s="26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>
      <c r="A762" s="39"/>
      <c r="B762" s="46"/>
      <c r="C762" s="46"/>
      <c r="D762" s="39"/>
      <c r="E762" s="39"/>
      <c r="F762" s="42"/>
      <c r="G762" s="42"/>
      <c r="H762" s="42"/>
      <c r="I762" s="42"/>
      <c r="J762" s="39"/>
      <c r="K762" s="42"/>
      <c r="L762" s="47"/>
      <c r="M762" s="43"/>
      <c r="N762" s="44"/>
      <c r="O762" s="29"/>
      <c r="P762" s="26"/>
      <c r="Q762" s="26"/>
      <c r="R762" s="26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>
      <c r="A763" s="39"/>
      <c r="B763" s="46"/>
      <c r="C763" s="46"/>
      <c r="D763" s="39"/>
      <c r="E763" s="39"/>
      <c r="F763" s="42"/>
      <c r="G763" s="42"/>
      <c r="H763" s="42"/>
      <c r="I763" s="42"/>
      <c r="J763" s="39"/>
      <c r="K763" s="42"/>
      <c r="L763" s="47"/>
      <c r="M763" s="43"/>
      <c r="N763" s="44"/>
      <c r="O763" s="29"/>
      <c r="P763" s="26"/>
      <c r="Q763" s="26"/>
      <c r="R763" s="26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>
      <c r="A764" s="39"/>
      <c r="B764" s="46"/>
      <c r="C764" s="46"/>
      <c r="D764" s="39"/>
      <c r="E764" s="39"/>
      <c r="F764" s="42"/>
      <c r="G764" s="42"/>
      <c r="H764" s="42"/>
      <c r="I764" s="42"/>
      <c r="J764" s="39"/>
      <c r="K764" s="42"/>
      <c r="L764" s="47"/>
      <c r="M764" s="43"/>
      <c r="N764" s="44"/>
      <c r="O764" s="29"/>
      <c r="P764" s="26"/>
      <c r="Q764" s="26"/>
      <c r="R764" s="26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>
      <c r="A765" s="39"/>
      <c r="B765" s="46"/>
      <c r="C765" s="46"/>
      <c r="D765" s="39"/>
      <c r="E765" s="39"/>
      <c r="F765" s="42"/>
      <c r="G765" s="42"/>
      <c r="H765" s="42"/>
      <c r="I765" s="42"/>
      <c r="J765" s="39"/>
      <c r="K765" s="42"/>
      <c r="L765" s="47"/>
      <c r="M765" s="43"/>
      <c r="N765" s="44"/>
      <c r="O765" s="29"/>
      <c r="P765" s="26"/>
      <c r="Q765" s="26"/>
      <c r="R765" s="26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>
      <c r="A766" s="39"/>
      <c r="B766" s="46"/>
      <c r="C766" s="46"/>
      <c r="D766" s="39"/>
      <c r="E766" s="39"/>
      <c r="F766" s="42"/>
      <c r="G766" s="42"/>
      <c r="H766" s="42"/>
      <c r="I766" s="42"/>
      <c r="J766" s="39"/>
      <c r="K766" s="42"/>
      <c r="L766" s="47"/>
      <c r="M766" s="43"/>
      <c r="N766" s="44"/>
      <c r="O766" s="29"/>
      <c r="P766" s="26"/>
      <c r="Q766" s="26"/>
      <c r="R766" s="26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>
      <c r="A767" s="39"/>
      <c r="B767" s="46"/>
      <c r="C767" s="46"/>
      <c r="D767" s="39"/>
      <c r="E767" s="39"/>
      <c r="F767" s="42"/>
      <c r="G767" s="42"/>
      <c r="H767" s="42"/>
      <c r="I767" s="42"/>
      <c r="J767" s="39"/>
      <c r="K767" s="42"/>
      <c r="L767" s="47"/>
      <c r="M767" s="43"/>
      <c r="N767" s="44"/>
      <c r="O767" s="29"/>
      <c r="P767" s="26"/>
      <c r="Q767" s="26"/>
      <c r="R767" s="26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>
      <c r="A768" s="39"/>
      <c r="B768" s="46"/>
      <c r="C768" s="46"/>
      <c r="D768" s="39"/>
      <c r="E768" s="39"/>
      <c r="F768" s="42"/>
      <c r="G768" s="42"/>
      <c r="H768" s="42"/>
      <c r="I768" s="42"/>
      <c r="J768" s="39"/>
      <c r="K768" s="42"/>
      <c r="L768" s="47"/>
      <c r="M768" s="43"/>
      <c r="N768" s="44"/>
      <c r="O768" s="29"/>
      <c r="P768" s="26"/>
      <c r="Q768" s="26"/>
      <c r="R768" s="26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>
      <c r="A769" s="39"/>
      <c r="B769" s="46"/>
      <c r="C769" s="46"/>
      <c r="D769" s="39"/>
      <c r="E769" s="39"/>
      <c r="F769" s="42"/>
      <c r="G769" s="42"/>
      <c r="H769" s="42"/>
      <c r="I769" s="42"/>
      <c r="J769" s="39"/>
      <c r="K769" s="42"/>
      <c r="L769" s="47"/>
      <c r="M769" s="43"/>
      <c r="N769" s="44"/>
      <c r="O769" s="29"/>
      <c r="P769" s="26"/>
      <c r="Q769" s="26"/>
      <c r="R769" s="26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>
      <c r="A770" s="39"/>
      <c r="B770" s="46"/>
      <c r="C770" s="46"/>
      <c r="D770" s="39"/>
      <c r="E770" s="39"/>
      <c r="F770" s="42"/>
      <c r="G770" s="42"/>
      <c r="H770" s="42"/>
      <c r="I770" s="42"/>
      <c r="J770" s="39"/>
      <c r="K770" s="42"/>
      <c r="L770" s="47"/>
      <c r="M770" s="43"/>
      <c r="N770" s="44"/>
      <c r="O770" s="29"/>
      <c r="P770" s="26"/>
      <c r="Q770" s="26"/>
      <c r="R770" s="26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>
      <c r="A771" s="39"/>
      <c r="B771" s="46"/>
      <c r="C771" s="46"/>
      <c r="D771" s="39"/>
      <c r="E771" s="39"/>
      <c r="F771" s="42"/>
      <c r="G771" s="42"/>
      <c r="H771" s="42"/>
      <c r="I771" s="42"/>
      <c r="J771" s="39"/>
      <c r="K771" s="42"/>
      <c r="L771" s="47"/>
      <c r="M771" s="43"/>
      <c r="N771" s="44"/>
      <c r="O771" s="29"/>
      <c r="P771" s="26"/>
      <c r="Q771" s="26"/>
      <c r="R771" s="26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>
      <c r="A772" s="39"/>
      <c r="B772" s="46"/>
      <c r="C772" s="46"/>
      <c r="D772" s="39"/>
      <c r="E772" s="39"/>
      <c r="F772" s="42"/>
      <c r="G772" s="42"/>
      <c r="H772" s="42"/>
      <c r="I772" s="42"/>
      <c r="J772" s="39"/>
      <c r="K772" s="42"/>
      <c r="L772" s="47"/>
      <c r="M772" s="43"/>
      <c r="N772" s="44"/>
      <c r="O772" s="29"/>
      <c r="P772" s="26"/>
      <c r="Q772" s="26"/>
      <c r="R772" s="26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>
      <c r="A773" s="39"/>
      <c r="B773" s="46"/>
      <c r="C773" s="46"/>
      <c r="D773" s="39"/>
      <c r="E773" s="39"/>
      <c r="F773" s="42"/>
      <c r="G773" s="42"/>
      <c r="H773" s="42"/>
      <c r="I773" s="42"/>
      <c r="J773" s="39"/>
      <c r="K773" s="42"/>
      <c r="L773" s="47"/>
      <c r="M773" s="43"/>
      <c r="N773" s="44"/>
      <c r="O773" s="29"/>
      <c r="P773" s="26"/>
      <c r="Q773" s="26"/>
      <c r="R773" s="26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>
      <c r="A774" s="39"/>
      <c r="B774" s="46"/>
      <c r="C774" s="46"/>
      <c r="D774" s="39"/>
      <c r="E774" s="39"/>
      <c r="F774" s="42"/>
      <c r="G774" s="42"/>
      <c r="H774" s="42"/>
      <c r="I774" s="42"/>
      <c r="J774" s="39"/>
      <c r="K774" s="42"/>
      <c r="L774" s="47"/>
      <c r="M774" s="43"/>
      <c r="N774" s="44"/>
      <c r="O774" s="29"/>
      <c r="P774" s="26"/>
      <c r="Q774" s="26"/>
      <c r="R774" s="26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>
      <c r="A775" s="39"/>
      <c r="B775" s="46"/>
      <c r="C775" s="46"/>
      <c r="D775" s="39"/>
      <c r="E775" s="39"/>
      <c r="F775" s="42"/>
      <c r="G775" s="42"/>
      <c r="H775" s="42"/>
      <c r="I775" s="42"/>
      <c r="J775" s="39"/>
      <c r="K775" s="42"/>
      <c r="L775" s="47"/>
      <c r="M775" s="43"/>
      <c r="N775" s="44"/>
      <c r="O775" s="29"/>
      <c r="P775" s="26"/>
      <c r="Q775" s="26"/>
      <c r="R775" s="26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>
      <c r="A776" s="39"/>
      <c r="B776" s="46"/>
      <c r="C776" s="46"/>
      <c r="D776" s="39"/>
      <c r="E776" s="39"/>
      <c r="F776" s="42"/>
      <c r="G776" s="42"/>
      <c r="H776" s="42"/>
      <c r="I776" s="42"/>
      <c r="J776" s="39"/>
      <c r="K776" s="42"/>
      <c r="L776" s="47"/>
      <c r="M776" s="43"/>
      <c r="N776" s="44"/>
      <c r="O776" s="29"/>
      <c r="P776" s="26"/>
      <c r="Q776" s="26"/>
      <c r="R776" s="26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>
      <c r="A777" s="39"/>
      <c r="B777" s="46"/>
      <c r="C777" s="46"/>
      <c r="D777" s="39"/>
      <c r="E777" s="39"/>
      <c r="F777" s="42"/>
      <c r="G777" s="42"/>
      <c r="H777" s="42"/>
      <c r="I777" s="42"/>
      <c r="J777" s="39"/>
      <c r="K777" s="42"/>
      <c r="L777" s="47"/>
      <c r="M777" s="43"/>
      <c r="N777" s="44"/>
      <c r="O777" s="29"/>
      <c r="P777" s="26"/>
      <c r="Q777" s="26"/>
      <c r="R777" s="26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>
      <c r="A778" s="39"/>
      <c r="B778" s="46"/>
      <c r="C778" s="46"/>
      <c r="D778" s="39"/>
      <c r="E778" s="39"/>
      <c r="F778" s="42"/>
      <c r="G778" s="42"/>
      <c r="H778" s="42"/>
      <c r="I778" s="42"/>
      <c r="J778" s="39"/>
      <c r="K778" s="42"/>
      <c r="L778" s="47"/>
      <c r="M778" s="43"/>
      <c r="N778" s="44"/>
      <c r="O778" s="29"/>
      <c r="P778" s="26"/>
      <c r="Q778" s="26"/>
      <c r="R778" s="26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>
      <c r="A779" s="39"/>
      <c r="B779" s="46"/>
      <c r="C779" s="46"/>
      <c r="D779" s="39"/>
      <c r="E779" s="39"/>
      <c r="F779" s="42"/>
      <c r="G779" s="42"/>
      <c r="H779" s="42"/>
      <c r="I779" s="42"/>
      <c r="J779" s="39"/>
      <c r="K779" s="42"/>
      <c r="L779" s="47"/>
      <c r="M779" s="43"/>
      <c r="N779" s="44"/>
      <c r="O779" s="29"/>
      <c r="P779" s="26"/>
      <c r="Q779" s="26"/>
      <c r="R779" s="26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>
      <c r="A780" s="39"/>
      <c r="B780" s="46"/>
      <c r="C780" s="46"/>
      <c r="D780" s="39"/>
      <c r="E780" s="39"/>
      <c r="F780" s="42"/>
      <c r="G780" s="42"/>
      <c r="H780" s="42"/>
      <c r="I780" s="42"/>
      <c r="J780" s="39"/>
      <c r="K780" s="42"/>
      <c r="L780" s="47"/>
      <c r="M780" s="43"/>
      <c r="N780" s="44"/>
      <c r="O780" s="29"/>
      <c r="P780" s="26"/>
      <c r="Q780" s="26"/>
      <c r="R780" s="26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>
      <c r="A781" s="39"/>
      <c r="B781" s="46"/>
      <c r="C781" s="46"/>
      <c r="D781" s="39"/>
      <c r="E781" s="39"/>
      <c r="F781" s="42"/>
      <c r="G781" s="42"/>
      <c r="H781" s="42"/>
      <c r="I781" s="42"/>
      <c r="J781" s="39"/>
      <c r="K781" s="42"/>
      <c r="L781" s="47"/>
      <c r="M781" s="43"/>
      <c r="N781" s="44"/>
      <c r="O781" s="29"/>
      <c r="P781" s="26"/>
      <c r="Q781" s="26"/>
      <c r="R781" s="26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>
      <c r="A782" s="39"/>
      <c r="B782" s="46"/>
      <c r="C782" s="46"/>
      <c r="D782" s="39"/>
      <c r="E782" s="39"/>
      <c r="F782" s="42"/>
      <c r="G782" s="42"/>
      <c r="H782" s="42"/>
      <c r="I782" s="42"/>
      <c r="J782" s="39"/>
      <c r="K782" s="42"/>
      <c r="L782" s="47"/>
      <c r="M782" s="43"/>
      <c r="N782" s="44"/>
      <c r="O782" s="29"/>
      <c r="P782" s="26"/>
      <c r="Q782" s="26"/>
      <c r="R782" s="26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>
      <c r="A783" s="39"/>
      <c r="B783" s="46"/>
      <c r="C783" s="46"/>
      <c r="D783" s="39"/>
      <c r="E783" s="39"/>
      <c r="F783" s="42"/>
      <c r="G783" s="42"/>
      <c r="H783" s="42"/>
      <c r="I783" s="42"/>
      <c r="J783" s="39"/>
      <c r="K783" s="42"/>
      <c r="L783" s="47"/>
      <c r="M783" s="43"/>
      <c r="N783" s="44"/>
      <c r="O783" s="29"/>
      <c r="P783" s="26"/>
      <c r="Q783" s="26"/>
      <c r="R783" s="26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>
      <c r="A784" s="39"/>
      <c r="B784" s="46"/>
      <c r="C784" s="46"/>
      <c r="D784" s="39"/>
      <c r="E784" s="39"/>
      <c r="F784" s="42"/>
      <c r="G784" s="42"/>
      <c r="H784" s="42"/>
      <c r="I784" s="42"/>
      <c r="J784" s="39"/>
      <c r="K784" s="42"/>
      <c r="L784" s="47"/>
      <c r="M784" s="43"/>
      <c r="N784" s="44"/>
      <c r="O784" s="29"/>
      <c r="P784" s="26"/>
      <c r="Q784" s="26"/>
      <c r="R784" s="26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>
      <c r="A785" s="39"/>
      <c r="B785" s="46"/>
      <c r="C785" s="46"/>
      <c r="D785" s="39"/>
      <c r="E785" s="39"/>
      <c r="F785" s="42"/>
      <c r="G785" s="42"/>
      <c r="H785" s="42"/>
      <c r="I785" s="42"/>
      <c r="J785" s="39"/>
      <c r="K785" s="42"/>
      <c r="L785" s="47"/>
      <c r="M785" s="43"/>
      <c r="N785" s="44"/>
      <c r="O785" s="29"/>
      <c r="P785" s="26"/>
      <c r="Q785" s="26"/>
      <c r="R785" s="26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>
      <c r="A786" s="39"/>
      <c r="B786" s="46"/>
      <c r="C786" s="46"/>
      <c r="D786" s="39"/>
      <c r="E786" s="39"/>
      <c r="F786" s="42"/>
      <c r="G786" s="42"/>
      <c r="H786" s="42"/>
      <c r="I786" s="42"/>
      <c r="J786" s="39"/>
      <c r="K786" s="42"/>
      <c r="L786" s="47"/>
      <c r="M786" s="43"/>
      <c r="N786" s="44"/>
      <c r="O786" s="29"/>
      <c r="P786" s="26"/>
      <c r="Q786" s="26"/>
      <c r="R786" s="26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>
      <c r="A787" s="39"/>
      <c r="B787" s="46"/>
      <c r="C787" s="46"/>
      <c r="D787" s="39"/>
      <c r="E787" s="39"/>
      <c r="F787" s="42"/>
      <c r="G787" s="42"/>
      <c r="H787" s="42"/>
      <c r="I787" s="42"/>
      <c r="J787" s="39"/>
      <c r="K787" s="42"/>
      <c r="L787" s="47"/>
      <c r="M787" s="43"/>
      <c r="N787" s="44"/>
      <c r="O787" s="29"/>
      <c r="P787" s="26"/>
      <c r="Q787" s="26"/>
      <c r="R787" s="26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>
      <c r="A788" s="39"/>
      <c r="B788" s="46"/>
      <c r="C788" s="46"/>
      <c r="D788" s="39"/>
      <c r="E788" s="39"/>
      <c r="F788" s="42"/>
      <c r="G788" s="42"/>
      <c r="H788" s="42"/>
      <c r="I788" s="42"/>
      <c r="J788" s="39"/>
      <c r="K788" s="42"/>
      <c r="L788" s="47"/>
      <c r="M788" s="43"/>
      <c r="N788" s="44"/>
      <c r="O788" s="29"/>
      <c r="P788" s="26"/>
      <c r="Q788" s="26"/>
      <c r="R788" s="26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>
      <c r="A789" s="39"/>
      <c r="B789" s="46"/>
      <c r="C789" s="46"/>
      <c r="D789" s="39"/>
      <c r="E789" s="39"/>
      <c r="F789" s="42"/>
      <c r="G789" s="42"/>
      <c r="H789" s="42"/>
      <c r="I789" s="42"/>
      <c r="J789" s="39"/>
      <c r="K789" s="42"/>
      <c r="L789" s="47"/>
      <c r="M789" s="43"/>
      <c r="N789" s="44"/>
      <c r="O789" s="29"/>
      <c r="P789" s="26"/>
      <c r="Q789" s="26"/>
      <c r="R789" s="26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>
      <c r="A790" s="39"/>
      <c r="B790" s="46"/>
      <c r="C790" s="46"/>
      <c r="D790" s="39"/>
      <c r="E790" s="39"/>
      <c r="F790" s="42"/>
      <c r="G790" s="42"/>
      <c r="H790" s="42"/>
      <c r="I790" s="42"/>
      <c r="J790" s="39"/>
      <c r="K790" s="42"/>
      <c r="L790" s="47"/>
      <c r="M790" s="43"/>
      <c r="N790" s="44"/>
      <c r="O790" s="29"/>
      <c r="P790" s="26"/>
      <c r="Q790" s="26"/>
      <c r="R790" s="26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>
      <c r="A791" s="39"/>
      <c r="B791" s="46"/>
      <c r="C791" s="46"/>
      <c r="D791" s="39"/>
      <c r="E791" s="39"/>
      <c r="F791" s="42"/>
      <c r="G791" s="42"/>
      <c r="H791" s="42"/>
      <c r="I791" s="42"/>
      <c r="J791" s="39"/>
      <c r="K791" s="42"/>
      <c r="L791" s="47"/>
      <c r="M791" s="43"/>
      <c r="N791" s="44"/>
      <c r="O791" s="29"/>
      <c r="P791" s="26"/>
      <c r="Q791" s="26"/>
      <c r="R791" s="26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>
      <c r="A792" s="39"/>
      <c r="B792" s="46"/>
      <c r="C792" s="46"/>
      <c r="D792" s="39"/>
      <c r="E792" s="39"/>
      <c r="F792" s="42"/>
      <c r="G792" s="42"/>
      <c r="H792" s="42"/>
      <c r="I792" s="42"/>
      <c r="J792" s="39"/>
      <c r="K792" s="42"/>
      <c r="L792" s="47"/>
      <c r="M792" s="43"/>
      <c r="N792" s="44"/>
      <c r="O792" s="29"/>
      <c r="P792" s="26"/>
      <c r="Q792" s="26"/>
      <c r="R792" s="26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>
      <c r="A793" s="39"/>
      <c r="B793" s="46"/>
      <c r="C793" s="46"/>
      <c r="D793" s="39"/>
      <c r="E793" s="39"/>
      <c r="F793" s="42"/>
      <c r="G793" s="42"/>
      <c r="H793" s="42"/>
      <c r="I793" s="42"/>
      <c r="J793" s="39"/>
      <c r="K793" s="42"/>
      <c r="L793" s="47"/>
      <c r="M793" s="43"/>
      <c r="N793" s="44"/>
      <c r="O793" s="29"/>
      <c r="P793" s="26"/>
      <c r="Q793" s="26"/>
      <c r="R793" s="26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>
      <c r="A794" s="39"/>
      <c r="B794" s="46"/>
      <c r="C794" s="46"/>
      <c r="D794" s="39"/>
      <c r="E794" s="39"/>
      <c r="F794" s="42"/>
      <c r="G794" s="42"/>
      <c r="H794" s="42"/>
      <c r="I794" s="42"/>
      <c r="J794" s="39"/>
      <c r="K794" s="42"/>
      <c r="L794" s="47"/>
      <c r="M794" s="43"/>
      <c r="N794" s="44"/>
      <c r="O794" s="29"/>
      <c r="P794" s="26"/>
      <c r="Q794" s="26"/>
      <c r="R794" s="26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>
      <c r="A795" s="39"/>
      <c r="B795" s="46"/>
      <c r="C795" s="46"/>
      <c r="D795" s="39"/>
      <c r="E795" s="39"/>
      <c r="F795" s="42"/>
      <c r="G795" s="42"/>
      <c r="H795" s="42"/>
      <c r="I795" s="42"/>
      <c r="J795" s="39"/>
      <c r="K795" s="42"/>
      <c r="L795" s="47"/>
      <c r="M795" s="43"/>
      <c r="N795" s="44"/>
      <c r="O795" s="29"/>
      <c r="P795" s="26"/>
      <c r="Q795" s="26"/>
      <c r="R795" s="26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>
      <c r="A796" s="39"/>
      <c r="B796" s="46"/>
      <c r="C796" s="46"/>
      <c r="D796" s="39"/>
      <c r="E796" s="39"/>
      <c r="F796" s="42"/>
      <c r="G796" s="42"/>
      <c r="H796" s="42"/>
      <c r="I796" s="42"/>
      <c r="J796" s="39"/>
      <c r="K796" s="42"/>
      <c r="L796" s="47"/>
      <c r="M796" s="43"/>
      <c r="N796" s="44"/>
      <c r="O796" s="29"/>
      <c r="P796" s="26"/>
      <c r="Q796" s="26"/>
      <c r="R796" s="26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>
      <c r="A797" s="39"/>
      <c r="B797" s="46"/>
      <c r="C797" s="46"/>
      <c r="D797" s="39"/>
      <c r="E797" s="39"/>
      <c r="F797" s="42"/>
      <c r="G797" s="42"/>
      <c r="H797" s="42"/>
      <c r="I797" s="42"/>
      <c r="J797" s="39"/>
      <c r="K797" s="42"/>
      <c r="L797" s="47"/>
      <c r="M797" s="43"/>
      <c r="N797" s="44"/>
      <c r="O797" s="29"/>
      <c r="P797" s="26"/>
      <c r="Q797" s="26"/>
      <c r="R797" s="26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>
      <c r="A798" s="39"/>
      <c r="B798" s="46"/>
      <c r="C798" s="46"/>
      <c r="D798" s="39"/>
      <c r="E798" s="39"/>
      <c r="F798" s="42"/>
      <c r="G798" s="42"/>
      <c r="H798" s="42"/>
      <c r="I798" s="42"/>
      <c r="J798" s="39"/>
      <c r="K798" s="42"/>
      <c r="L798" s="47"/>
      <c r="M798" s="43"/>
      <c r="N798" s="44"/>
      <c r="O798" s="29"/>
      <c r="P798" s="26"/>
      <c r="Q798" s="26"/>
      <c r="R798" s="26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>
      <c r="A799" s="39"/>
      <c r="B799" s="46"/>
      <c r="C799" s="46"/>
      <c r="D799" s="39"/>
      <c r="E799" s="39"/>
      <c r="F799" s="42"/>
      <c r="G799" s="42"/>
      <c r="H799" s="42"/>
      <c r="I799" s="42"/>
      <c r="J799" s="39"/>
      <c r="K799" s="42"/>
      <c r="L799" s="47"/>
      <c r="M799" s="43"/>
      <c r="N799" s="44"/>
      <c r="O799" s="29"/>
      <c r="P799" s="26"/>
      <c r="Q799" s="26"/>
      <c r="R799" s="26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>
      <c r="A800" s="39"/>
      <c r="B800" s="46"/>
      <c r="C800" s="46"/>
      <c r="D800" s="39"/>
      <c r="E800" s="39"/>
      <c r="F800" s="42"/>
      <c r="G800" s="42"/>
      <c r="H800" s="42"/>
      <c r="I800" s="42"/>
      <c r="J800" s="39"/>
      <c r="K800" s="42"/>
      <c r="L800" s="47"/>
      <c r="M800" s="43"/>
      <c r="N800" s="44"/>
      <c r="O800" s="29"/>
      <c r="P800" s="26"/>
      <c r="Q800" s="26"/>
      <c r="R800" s="26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>
      <c r="A801" s="39"/>
      <c r="B801" s="46"/>
      <c r="C801" s="46"/>
      <c r="D801" s="39"/>
      <c r="E801" s="39"/>
      <c r="F801" s="42"/>
      <c r="G801" s="42"/>
      <c r="H801" s="42"/>
      <c r="I801" s="42"/>
      <c r="J801" s="39"/>
      <c r="K801" s="42"/>
      <c r="L801" s="47"/>
      <c r="M801" s="43"/>
      <c r="N801" s="44"/>
      <c r="O801" s="29"/>
      <c r="P801" s="26"/>
      <c r="Q801" s="26"/>
      <c r="R801" s="26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>
      <c r="A802" s="39"/>
      <c r="B802" s="46"/>
      <c r="C802" s="46"/>
      <c r="D802" s="39"/>
      <c r="E802" s="39"/>
      <c r="F802" s="42"/>
      <c r="G802" s="42"/>
      <c r="H802" s="42"/>
      <c r="I802" s="42"/>
      <c r="J802" s="39"/>
      <c r="K802" s="42"/>
      <c r="L802" s="47"/>
      <c r="M802" s="43"/>
      <c r="N802" s="44"/>
      <c r="O802" s="29"/>
      <c r="P802" s="26"/>
      <c r="Q802" s="26"/>
      <c r="R802" s="26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>
      <c r="A803" s="39"/>
      <c r="B803" s="46"/>
      <c r="C803" s="46"/>
      <c r="D803" s="39"/>
      <c r="E803" s="39"/>
      <c r="F803" s="42"/>
      <c r="G803" s="42"/>
      <c r="H803" s="42"/>
      <c r="I803" s="42"/>
      <c r="J803" s="39"/>
      <c r="K803" s="42"/>
      <c r="L803" s="47"/>
      <c r="M803" s="43"/>
      <c r="N803" s="44"/>
      <c r="O803" s="29"/>
      <c r="P803" s="26"/>
      <c r="Q803" s="26"/>
      <c r="R803" s="26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>
      <c r="A804" s="39"/>
      <c r="B804" s="46"/>
      <c r="C804" s="46"/>
      <c r="D804" s="39"/>
      <c r="E804" s="39"/>
      <c r="F804" s="42"/>
      <c r="G804" s="42"/>
      <c r="H804" s="42"/>
      <c r="I804" s="42"/>
      <c r="J804" s="39"/>
      <c r="K804" s="42"/>
      <c r="L804" s="47"/>
      <c r="M804" s="43"/>
      <c r="N804" s="44"/>
      <c r="O804" s="29"/>
      <c r="P804" s="26"/>
      <c r="Q804" s="26"/>
      <c r="R804" s="26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>
      <c r="A805" s="39"/>
      <c r="B805" s="46"/>
      <c r="C805" s="46"/>
      <c r="D805" s="39"/>
      <c r="E805" s="39"/>
      <c r="F805" s="42"/>
      <c r="G805" s="42"/>
      <c r="H805" s="42"/>
      <c r="I805" s="42"/>
      <c r="J805" s="39"/>
      <c r="K805" s="42"/>
      <c r="L805" s="47"/>
      <c r="M805" s="43"/>
      <c r="N805" s="44"/>
      <c r="O805" s="29"/>
      <c r="P805" s="26"/>
      <c r="Q805" s="26"/>
      <c r="R805" s="26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>
      <c r="A806" s="39"/>
      <c r="B806" s="46"/>
      <c r="C806" s="46"/>
      <c r="D806" s="39"/>
      <c r="E806" s="39"/>
      <c r="F806" s="42"/>
      <c r="G806" s="42"/>
      <c r="H806" s="42"/>
      <c r="I806" s="42"/>
      <c r="J806" s="39"/>
      <c r="K806" s="42"/>
      <c r="L806" s="47"/>
      <c r="M806" s="43"/>
      <c r="N806" s="44"/>
      <c r="O806" s="29"/>
      <c r="P806" s="26"/>
      <c r="Q806" s="26"/>
      <c r="R806" s="26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>
      <c r="A807" s="39"/>
      <c r="B807" s="46"/>
      <c r="C807" s="46"/>
      <c r="D807" s="39"/>
      <c r="E807" s="39"/>
      <c r="F807" s="42"/>
      <c r="G807" s="42"/>
      <c r="H807" s="42"/>
      <c r="I807" s="42"/>
      <c r="J807" s="39"/>
      <c r="K807" s="42"/>
      <c r="L807" s="47"/>
      <c r="M807" s="43"/>
      <c r="N807" s="44"/>
      <c r="O807" s="29"/>
      <c r="P807" s="26"/>
      <c r="Q807" s="26"/>
      <c r="R807" s="26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>
      <c r="A808" s="39"/>
      <c r="B808" s="46"/>
      <c r="C808" s="46"/>
      <c r="D808" s="39"/>
      <c r="E808" s="39"/>
      <c r="F808" s="42"/>
      <c r="G808" s="42"/>
      <c r="H808" s="42"/>
      <c r="I808" s="42"/>
      <c r="J808" s="39"/>
      <c r="K808" s="42"/>
      <c r="L808" s="47"/>
      <c r="M808" s="43"/>
      <c r="N808" s="44"/>
      <c r="O808" s="29"/>
      <c r="P808" s="26"/>
      <c r="Q808" s="26"/>
      <c r="R808" s="26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>
      <c r="A809" s="39"/>
      <c r="B809" s="46"/>
      <c r="C809" s="46"/>
      <c r="D809" s="39"/>
      <c r="E809" s="39"/>
      <c r="F809" s="42"/>
      <c r="G809" s="42"/>
      <c r="H809" s="42"/>
      <c r="I809" s="42"/>
      <c r="J809" s="39"/>
      <c r="K809" s="42"/>
      <c r="L809" s="47"/>
      <c r="M809" s="43"/>
      <c r="N809" s="44"/>
      <c r="O809" s="29"/>
      <c r="P809" s="26"/>
      <c r="Q809" s="26"/>
      <c r="R809" s="26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>
      <c r="A810" s="39"/>
      <c r="B810" s="46"/>
      <c r="C810" s="46"/>
      <c r="D810" s="39"/>
      <c r="E810" s="39"/>
      <c r="F810" s="42"/>
      <c r="G810" s="42"/>
      <c r="H810" s="42"/>
      <c r="I810" s="42"/>
      <c r="J810" s="39"/>
      <c r="K810" s="42"/>
      <c r="L810" s="47"/>
      <c r="M810" s="43"/>
      <c r="N810" s="44"/>
      <c r="O810" s="29"/>
      <c r="P810" s="26"/>
      <c r="Q810" s="26"/>
      <c r="R810" s="26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>
      <c r="A811" s="39"/>
      <c r="B811" s="46"/>
      <c r="C811" s="46"/>
      <c r="D811" s="39"/>
      <c r="E811" s="39"/>
      <c r="F811" s="42"/>
      <c r="G811" s="42"/>
      <c r="H811" s="42"/>
      <c r="I811" s="42"/>
      <c r="J811" s="39"/>
      <c r="K811" s="42"/>
      <c r="L811" s="47"/>
      <c r="M811" s="43"/>
      <c r="N811" s="44"/>
      <c r="O811" s="29"/>
      <c r="P811" s="26"/>
      <c r="Q811" s="26"/>
      <c r="R811" s="26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>
      <c r="A812" s="39"/>
      <c r="B812" s="46"/>
      <c r="C812" s="46"/>
      <c r="D812" s="39"/>
      <c r="E812" s="39"/>
      <c r="F812" s="42"/>
      <c r="G812" s="42"/>
      <c r="H812" s="42"/>
      <c r="I812" s="42"/>
      <c r="J812" s="39"/>
      <c r="K812" s="42"/>
      <c r="L812" s="47"/>
      <c r="M812" s="43"/>
      <c r="N812" s="44"/>
      <c r="O812" s="29"/>
      <c r="P812" s="26"/>
      <c r="Q812" s="26"/>
      <c r="R812" s="26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>
      <c r="A813" s="39"/>
      <c r="B813" s="46"/>
      <c r="C813" s="46"/>
      <c r="D813" s="39"/>
      <c r="E813" s="39"/>
      <c r="F813" s="42"/>
      <c r="G813" s="42"/>
      <c r="H813" s="42"/>
      <c r="I813" s="42"/>
      <c r="J813" s="39"/>
      <c r="K813" s="42"/>
      <c r="L813" s="47"/>
      <c r="M813" s="43"/>
      <c r="N813" s="44"/>
      <c r="O813" s="29"/>
      <c r="P813" s="26"/>
      <c r="Q813" s="26"/>
      <c r="R813" s="26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>
      <c r="A814" s="39"/>
      <c r="B814" s="46"/>
      <c r="C814" s="46"/>
      <c r="D814" s="39"/>
      <c r="E814" s="39"/>
      <c r="F814" s="42"/>
      <c r="G814" s="42"/>
      <c r="H814" s="42"/>
      <c r="I814" s="42"/>
      <c r="J814" s="39"/>
      <c r="K814" s="42"/>
      <c r="L814" s="47"/>
      <c r="M814" s="43"/>
      <c r="N814" s="44"/>
      <c r="O814" s="29"/>
      <c r="P814" s="26"/>
      <c r="Q814" s="26"/>
      <c r="R814" s="26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>
      <c r="A815" s="39"/>
      <c r="B815" s="46"/>
      <c r="C815" s="46"/>
      <c r="D815" s="39"/>
      <c r="E815" s="39"/>
      <c r="F815" s="42"/>
      <c r="G815" s="42"/>
      <c r="H815" s="42"/>
      <c r="I815" s="42"/>
      <c r="J815" s="39"/>
      <c r="K815" s="42"/>
      <c r="L815" s="47"/>
      <c r="M815" s="43"/>
      <c r="N815" s="44"/>
      <c r="O815" s="29"/>
      <c r="P815" s="26"/>
      <c r="Q815" s="26"/>
      <c r="R815" s="26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>
      <c r="A816" s="39"/>
      <c r="B816" s="46"/>
      <c r="C816" s="46"/>
      <c r="D816" s="39"/>
      <c r="E816" s="39"/>
      <c r="F816" s="42"/>
      <c r="G816" s="42"/>
      <c r="H816" s="42"/>
      <c r="I816" s="42"/>
      <c r="J816" s="39"/>
      <c r="K816" s="42"/>
      <c r="L816" s="47"/>
      <c r="M816" s="43"/>
      <c r="N816" s="44"/>
      <c r="O816" s="29"/>
      <c r="P816" s="26"/>
      <c r="Q816" s="26"/>
      <c r="R816" s="26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>
      <c r="A817" s="39"/>
      <c r="B817" s="46"/>
      <c r="C817" s="46"/>
      <c r="D817" s="39"/>
      <c r="E817" s="39"/>
      <c r="F817" s="42"/>
      <c r="G817" s="42"/>
      <c r="H817" s="42"/>
      <c r="I817" s="42"/>
      <c r="J817" s="39"/>
      <c r="K817" s="42"/>
      <c r="L817" s="47"/>
      <c r="M817" s="43"/>
      <c r="N817" s="44"/>
      <c r="O817" s="29"/>
      <c r="P817" s="26"/>
      <c r="Q817" s="26"/>
      <c r="R817" s="26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>
      <c r="A818" s="39"/>
      <c r="B818" s="46"/>
      <c r="C818" s="46"/>
      <c r="D818" s="39"/>
      <c r="E818" s="39"/>
      <c r="F818" s="42"/>
      <c r="G818" s="42"/>
      <c r="H818" s="42"/>
      <c r="I818" s="42"/>
      <c r="J818" s="39"/>
      <c r="K818" s="42"/>
      <c r="L818" s="47"/>
      <c r="M818" s="43"/>
      <c r="N818" s="44"/>
      <c r="O818" s="29"/>
      <c r="P818" s="26"/>
      <c r="Q818" s="26"/>
      <c r="R818" s="26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>
      <c r="A819" s="39"/>
      <c r="B819" s="46"/>
      <c r="C819" s="46"/>
      <c r="D819" s="39"/>
      <c r="E819" s="39"/>
      <c r="F819" s="42"/>
      <c r="G819" s="42"/>
      <c r="H819" s="42"/>
      <c r="I819" s="42"/>
      <c r="J819" s="39"/>
      <c r="K819" s="42"/>
      <c r="L819" s="47"/>
      <c r="M819" s="43"/>
      <c r="N819" s="44"/>
      <c r="O819" s="29"/>
      <c r="P819" s="26"/>
      <c r="Q819" s="26"/>
      <c r="R819" s="26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>
      <c r="A820" s="39"/>
      <c r="B820" s="46"/>
      <c r="C820" s="46"/>
      <c r="D820" s="39"/>
      <c r="E820" s="39"/>
      <c r="F820" s="42"/>
      <c r="G820" s="42"/>
      <c r="H820" s="42"/>
      <c r="I820" s="42"/>
      <c r="J820" s="39"/>
      <c r="K820" s="42"/>
      <c r="L820" s="47"/>
      <c r="M820" s="43"/>
      <c r="N820" s="44"/>
      <c r="O820" s="29"/>
      <c r="P820" s="26"/>
      <c r="Q820" s="26"/>
      <c r="R820" s="26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>
      <c r="A821" s="39"/>
      <c r="B821" s="46"/>
      <c r="C821" s="46"/>
      <c r="D821" s="39"/>
      <c r="E821" s="39"/>
      <c r="F821" s="42"/>
      <c r="G821" s="42"/>
      <c r="H821" s="42"/>
      <c r="I821" s="42"/>
      <c r="J821" s="39"/>
      <c r="K821" s="42"/>
      <c r="L821" s="47"/>
      <c r="M821" s="43"/>
      <c r="N821" s="44"/>
      <c r="O821" s="29"/>
      <c r="P821" s="26"/>
      <c r="Q821" s="26"/>
      <c r="R821" s="26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>
      <c r="A822" s="39"/>
      <c r="B822" s="46"/>
      <c r="C822" s="46"/>
      <c r="D822" s="39"/>
      <c r="E822" s="39"/>
      <c r="F822" s="42"/>
      <c r="G822" s="42"/>
      <c r="H822" s="42"/>
      <c r="I822" s="42"/>
      <c r="J822" s="39"/>
      <c r="K822" s="42"/>
      <c r="L822" s="47"/>
      <c r="M822" s="43"/>
      <c r="N822" s="44"/>
      <c r="O822" s="29"/>
      <c r="P822" s="26"/>
      <c r="Q822" s="26"/>
      <c r="R822" s="26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>
      <c r="A823" s="39"/>
      <c r="B823" s="46"/>
      <c r="C823" s="46"/>
      <c r="D823" s="39"/>
      <c r="E823" s="39"/>
      <c r="F823" s="42"/>
      <c r="G823" s="42"/>
      <c r="H823" s="42"/>
      <c r="I823" s="42"/>
      <c r="J823" s="39"/>
      <c r="K823" s="42"/>
      <c r="L823" s="47"/>
      <c r="M823" s="43"/>
      <c r="N823" s="44"/>
      <c r="O823" s="29"/>
      <c r="P823" s="26"/>
      <c r="Q823" s="26"/>
      <c r="R823" s="26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>
      <c r="A824" s="39"/>
      <c r="B824" s="46"/>
      <c r="C824" s="46"/>
      <c r="D824" s="39"/>
      <c r="E824" s="39"/>
      <c r="F824" s="42"/>
      <c r="G824" s="42"/>
      <c r="H824" s="42"/>
      <c r="I824" s="42"/>
      <c r="J824" s="39"/>
      <c r="K824" s="42"/>
      <c r="L824" s="47"/>
      <c r="M824" s="43"/>
      <c r="N824" s="44"/>
      <c r="O824" s="29"/>
      <c r="P824" s="26"/>
      <c r="Q824" s="26"/>
      <c r="R824" s="26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>
      <c r="A825" s="39"/>
      <c r="B825" s="46"/>
      <c r="C825" s="46"/>
      <c r="D825" s="39"/>
      <c r="E825" s="39"/>
      <c r="F825" s="42"/>
      <c r="G825" s="42"/>
      <c r="H825" s="42"/>
      <c r="I825" s="42"/>
      <c r="J825" s="39"/>
      <c r="K825" s="42"/>
      <c r="L825" s="47"/>
      <c r="M825" s="43"/>
      <c r="N825" s="44"/>
      <c r="O825" s="29"/>
      <c r="P825" s="26"/>
      <c r="Q825" s="26"/>
      <c r="R825" s="26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>
      <c r="A826" s="39"/>
      <c r="B826" s="46"/>
      <c r="C826" s="46"/>
      <c r="D826" s="39"/>
      <c r="E826" s="39"/>
      <c r="F826" s="42"/>
      <c r="G826" s="42"/>
      <c r="H826" s="42"/>
      <c r="I826" s="42"/>
      <c r="J826" s="39"/>
      <c r="K826" s="42"/>
      <c r="L826" s="47"/>
      <c r="M826" s="43"/>
      <c r="N826" s="44"/>
      <c r="O826" s="29"/>
      <c r="P826" s="26"/>
      <c r="Q826" s="26"/>
      <c r="R826" s="26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>
      <c r="A827" s="39"/>
      <c r="B827" s="46"/>
      <c r="C827" s="46"/>
      <c r="D827" s="39"/>
      <c r="E827" s="39"/>
      <c r="F827" s="42"/>
      <c r="G827" s="42"/>
      <c r="H827" s="42"/>
      <c r="I827" s="42"/>
      <c r="J827" s="39"/>
      <c r="K827" s="42"/>
      <c r="L827" s="47"/>
      <c r="M827" s="43"/>
      <c r="N827" s="44"/>
      <c r="O827" s="29"/>
      <c r="P827" s="26"/>
      <c r="Q827" s="26"/>
      <c r="R827" s="26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>
      <c r="A828" s="39"/>
      <c r="B828" s="46"/>
      <c r="C828" s="46"/>
      <c r="D828" s="39"/>
      <c r="E828" s="39"/>
      <c r="F828" s="42"/>
      <c r="G828" s="42"/>
      <c r="H828" s="42"/>
      <c r="I828" s="42"/>
      <c r="J828" s="39"/>
      <c r="K828" s="42"/>
      <c r="L828" s="47"/>
      <c r="M828" s="43"/>
      <c r="N828" s="44"/>
      <c r="O828" s="29"/>
      <c r="P828" s="26"/>
      <c r="Q828" s="26"/>
      <c r="R828" s="26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>
      <c r="A829" s="39"/>
      <c r="B829" s="46"/>
      <c r="C829" s="46"/>
      <c r="D829" s="39"/>
      <c r="E829" s="39"/>
      <c r="F829" s="42"/>
      <c r="G829" s="42"/>
      <c r="H829" s="42"/>
      <c r="I829" s="42"/>
      <c r="J829" s="39"/>
      <c r="K829" s="42"/>
      <c r="L829" s="47"/>
      <c r="M829" s="43"/>
      <c r="N829" s="44"/>
      <c r="O829" s="29"/>
      <c r="P829" s="26"/>
      <c r="Q829" s="26"/>
      <c r="R829" s="26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>
      <c r="A830" s="39"/>
      <c r="B830" s="46"/>
      <c r="C830" s="46"/>
      <c r="D830" s="39"/>
      <c r="E830" s="39"/>
      <c r="F830" s="42"/>
      <c r="G830" s="42"/>
      <c r="H830" s="42"/>
      <c r="I830" s="42"/>
      <c r="J830" s="39"/>
      <c r="K830" s="42"/>
      <c r="L830" s="47"/>
      <c r="M830" s="43"/>
      <c r="N830" s="44"/>
      <c r="O830" s="29"/>
      <c r="P830" s="26"/>
      <c r="Q830" s="26"/>
      <c r="R830" s="26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>
      <c r="A831" s="39"/>
      <c r="B831" s="46"/>
      <c r="C831" s="46"/>
      <c r="D831" s="39"/>
      <c r="E831" s="39"/>
      <c r="F831" s="42"/>
      <c r="G831" s="42"/>
      <c r="H831" s="42"/>
      <c r="I831" s="42"/>
      <c r="J831" s="39"/>
      <c r="K831" s="42"/>
      <c r="L831" s="47"/>
      <c r="M831" s="43"/>
      <c r="N831" s="44"/>
      <c r="O831" s="29"/>
      <c r="P831" s="26"/>
      <c r="Q831" s="26"/>
      <c r="R831" s="26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>
      <c r="A832" s="39"/>
      <c r="B832" s="46"/>
      <c r="C832" s="46"/>
      <c r="D832" s="39"/>
      <c r="E832" s="39"/>
      <c r="F832" s="42"/>
      <c r="G832" s="42"/>
      <c r="H832" s="42"/>
      <c r="I832" s="42"/>
      <c r="J832" s="39"/>
      <c r="K832" s="42"/>
      <c r="L832" s="47"/>
      <c r="M832" s="43"/>
      <c r="N832" s="44"/>
      <c r="O832" s="29"/>
      <c r="P832" s="26"/>
      <c r="Q832" s="26"/>
      <c r="R832" s="26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>
      <c r="A833" s="39"/>
      <c r="B833" s="46"/>
      <c r="C833" s="46"/>
      <c r="D833" s="39"/>
      <c r="E833" s="39"/>
      <c r="F833" s="42"/>
      <c r="G833" s="42"/>
      <c r="H833" s="42"/>
      <c r="I833" s="42"/>
      <c r="J833" s="39"/>
      <c r="K833" s="42"/>
      <c r="L833" s="47"/>
      <c r="M833" s="43"/>
      <c r="N833" s="44"/>
      <c r="O833" s="29"/>
      <c r="P833" s="26"/>
      <c r="Q833" s="26"/>
      <c r="R833" s="26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>
      <c r="A834" s="39"/>
      <c r="B834" s="46"/>
      <c r="C834" s="46"/>
      <c r="D834" s="39"/>
      <c r="E834" s="39"/>
      <c r="F834" s="42"/>
      <c r="G834" s="42"/>
      <c r="H834" s="42"/>
      <c r="I834" s="42"/>
      <c r="J834" s="39"/>
      <c r="K834" s="42"/>
      <c r="L834" s="47"/>
      <c r="M834" s="43"/>
      <c r="N834" s="44"/>
      <c r="O834" s="29"/>
      <c r="P834" s="26"/>
      <c r="Q834" s="26"/>
      <c r="R834" s="26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>
      <c r="A835" s="39"/>
      <c r="B835" s="46"/>
      <c r="C835" s="46"/>
      <c r="D835" s="39"/>
      <c r="E835" s="39"/>
      <c r="F835" s="42"/>
      <c r="G835" s="42"/>
      <c r="H835" s="42"/>
      <c r="I835" s="42"/>
      <c r="J835" s="39"/>
      <c r="K835" s="42"/>
      <c r="L835" s="47"/>
      <c r="M835" s="43"/>
      <c r="N835" s="44"/>
      <c r="O835" s="29"/>
      <c r="P835" s="26"/>
      <c r="Q835" s="26"/>
      <c r="R835" s="26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>
      <c r="A836" s="39"/>
      <c r="B836" s="46"/>
      <c r="C836" s="46"/>
      <c r="D836" s="39"/>
      <c r="E836" s="39"/>
      <c r="F836" s="42"/>
      <c r="G836" s="42"/>
      <c r="H836" s="42"/>
      <c r="I836" s="42"/>
      <c r="J836" s="39"/>
      <c r="K836" s="42"/>
      <c r="L836" s="47"/>
      <c r="M836" s="43"/>
      <c r="N836" s="44"/>
      <c r="O836" s="29"/>
      <c r="P836" s="26"/>
      <c r="Q836" s="26"/>
      <c r="R836" s="26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>
      <c r="A837" s="39"/>
      <c r="B837" s="46"/>
      <c r="C837" s="46"/>
      <c r="D837" s="39"/>
      <c r="E837" s="39"/>
      <c r="F837" s="42"/>
      <c r="G837" s="42"/>
      <c r="H837" s="42"/>
      <c r="I837" s="42"/>
      <c r="J837" s="39"/>
      <c r="K837" s="42"/>
      <c r="L837" s="47"/>
      <c r="M837" s="43"/>
      <c r="N837" s="44"/>
      <c r="O837" s="29"/>
      <c r="P837" s="26"/>
      <c r="Q837" s="26"/>
      <c r="R837" s="26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>
      <c r="A838" s="39"/>
      <c r="B838" s="46"/>
      <c r="C838" s="46"/>
      <c r="D838" s="39"/>
      <c r="E838" s="39"/>
      <c r="F838" s="42"/>
      <c r="G838" s="42"/>
      <c r="H838" s="42"/>
      <c r="I838" s="42"/>
      <c r="J838" s="39"/>
      <c r="K838" s="42"/>
      <c r="L838" s="47"/>
      <c r="M838" s="43"/>
      <c r="N838" s="44"/>
      <c r="O838" s="29"/>
      <c r="P838" s="26"/>
      <c r="Q838" s="26"/>
      <c r="R838" s="26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>
      <c r="A839" s="39"/>
      <c r="B839" s="46"/>
      <c r="C839" s="46"/>
      <c r="D839" s="39"/>
      <c r="E839" s="39"/>
      <c r="F839" s="42"/>
      <c r="G839" s="42"/>
      <c r="H839" s="42"/>
      <c r="I839" s="42"/>
      <c r="J839" s="39"/>
      <c r="K839" s="42"/>
      <c r="L839" s="47"/>
      <c r="M839" s="43"/>
      <c r="N839" s="44"/>
      <c r="O839" s="29"/>
      <c r="P839" s="26"/>
      <c r="Q839" s="26"/>
      <c r="R839" s="26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>
      <c r="A840" s="39"/>
      <c r="B840" s="46"/>
      <c r="C840" s="46"/>
      <c r="D840" s="39"/>
      <c r="E840" s="39"/>
      <c r="F840" s="42"/>
      <c r="G840" s="42"/>
      <c r="H840" s="42"/>
      <c r="I840" s="42"/>
      <c r="J840" s="39"/>
      <c r="K840" s="42"/>
      <c r="L840" s="47"/>
      <c r="M840" s="43"/>
      <c r="N840" s="44"/>
      <c r="O840" s="29"/>
      <c r="P840" s="26"/>
      <c r="Q840" s="26"/>
      <c r="R840" s="26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>
      <c r="A841" s="39"/>
      <c r="B841" s="46"/>
      <c r="C841" s="46"/>
      <c r="D841" s="39"/>
      <c r="E841" s="39"/>
      <c r="F841" s="42"/>
      <c r="G841" s="42"/>
      <c r="H841" s="42"/>
      <c r="I841" s="42"/>
      <c r="J841" s="39"/>
      <c r="K841" s="42"/>
      <c r="L841" s="47"/>
      <c r="M841" s="43"/>
      <c r="N841" s="44"/>
      <c r="O841" s="29"/>
      <c r="P841" s="26"/>
      <c r="Q841" s="26"/>
      <c r="R841" s="26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>
      <c r="A842" s="39"/>
      <c r="B842" s="46"/>
      <c r="C842" s="46"/>
      <c r="D842" s="39"/>
      <c r="E842" s="39"/>
      <c r="F842" s="42"/>
      <c r="G842" s="42"/>
      <c r="H842" s="42"/>
      <c r="I842" s="42"/>
      <c r="J842" s="39"/>
      <c r="K842" s="42"/>
      <c r="L842" s="47"/>
      <c r="M842" s="43"/>
      <c r="N842" s="44"/>
      <c r="O842" s="29"/>
      <c r="P842" s="26"/>
      <c r="Q842" s="26"/>
      <c r="R842" s="26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>
      <c r="A843" s="39"/>
      <c r="B843" s="46"/>
      <c r="C843" s="46"/>
      <c r="D843" s="39"/>
      <c r="E843" s="39"/>
      <c r="F843" s="42"/>
      <c r="G843" s="42"/>
      <c r="H843" s="42"/>
      <c r="I843" s="42"/>
      <c r="J843" s="39"/>
      <c r="K843" s="42"/>
      <c r="L843" s="47"/>
      <c r="M843" s="43"/>
      <c r="N843" s="44"/>
      <c r="O843" s="29"/>
      <c r="P843" s="26"/>
      <c r="Q843" s="26"/>
      <c r="R843" s="26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>
      <c r="A844" s="39"/>
      <c r="B844" s="46"/>
      <c r="C844" s="46"/>
      <c r="D844" s="39"/>
      <c r="E844" s="39"/>
      <c r="F844" s="42"/>
      <c r="G844" s="42"/>
      <c r="H844" s="42"/>
      <c r="I844" s="42"/>
      <c r="J844" s="39"/>
      <c r="K844" s="42"/>
      <c r="L844" s="47"/>
      <c r="M844" s="43"/>
      <c r="N844" s="44"/>
      <c r="O844" s="29"/>
      <c r="P844" s="26"/>
      <c r="Q844" s="26"/>
      <c r="R844" s="26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>
      <c r="A845" s="39"/>
      <c r="B845" s="46"/>
      <c r="C845" s="46"/>
      <c r="D845" s="39"/>
      <c r="E845" s="39"/>
      <c r="F845" s="42"/>
      <c r="G845" s="42"/>
      <c r="H845" s="42"/>
      <c r="I845" s="42"/>
      <c r="J845" s="39"/>
      <c r="K845" s="42"/>
      <c r="L845" s="47"/>
      <c r="M845" s="43"/>
      <c r="N845" s="44"/>
      <c r="O845" s="29"/>
      <c r="P845" s="26"/>
      <c r="Q845" s="26"/>
      <c r="R845" s="26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>
      <c r="A846" s="39"/>
      <c r="B846" s="46"/>
      <c r="C846" s="46"/>
      <c r="D846" s="39"/>
      <c r="E846" s="39"/>
      <c r="F846" s="42"/>
      <c r="G846" s="42"/>
      <c r="H846" s="42"/>
      <c r="I846" s="42"/>
      <c r="J846" s="39"/>
      <c r="K846" s="42"/>
      <c r="L846" s="47"/>
      <c r="M846" s="43"/>
      <c r="N846" s="44"/>
      <c r="O846" s="29"/>
      <c r="P846" s="26"/>
      <c r="Q846" s="26"/>
      <c r="R846" s="26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>
      <c r="A847" s="39"/>
      <c r="B847" s="46"/>
      <c r="C847" s="46"/>
      <c r="D847" s="39"/>
      <c r="E847" s="39"/>
      <c r="F847" s="42"/>
      <c r="G847" s="42"/>
      <c r="H847" s="42"/>
      <c r="I847" s="42"/>
      <c r="J847" s="39"/>
      <c r="K847" s="42"/>
      <c r="L847" s="47"/>
      <c r="M847" s="43"/>
      <c r="N847" s="44"/>
      <c r="O847" s="29"/>
      <c r="P847" s="26"/>
      <c r="Q847" s="26"/>
      <c r="R847" s="26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>
      <c r="A848" s="39"/>
      <c r="B848" s="46"/>
      <c r="C848" s="46"/>
      <c r="D848" s="39"/>
      <c r="E848" s="39"/>
      <c r="F848" s="42"/>
      <c r="G848" s="42"/>
      <c r="H848" s="42"/>
      <c r="I848" s="42"/>
      <c r="J848" s="39"/>
      <c r="K848" s="42"/>
      <c r="L848" s="47"/>
      <c r="M848" s="43"/>
      <c r="N848" s="44"/>
      <c r="O848" s="29"/>
      <c r="P848" s="26"/>
      <c r="Q848" s="26"/>
      <c r="R848" s="26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>
      <c r="A849" s="39"/>
      <c r="B849" s="46"/>
      <c r="C849" s="46"/>
      <c r="D849" s="39"/>
      <c r="E849" s="39"/>
      <c r="F849" s="42"/>
      <c r="G849" s="42"/>
      <c r="H849" s="42"/>
      <c r="I849" s="42"/>
      <c r="J849" s="39"/>
      <c r="K849" s="42"/>
      <c r="L849" s="47"/>
      <c r="M849" s="43"/>
      <c r="N849" s="44"/>
      <c r="O849" s="29"/>
      <c r="P849" s="26"/>
      <c r="Q849" s="26"/>
      <c r="R849" s="26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>
      <c r="A850" s="39"/>
      <c r="B850" s="46"/>
      <c r="C850" s="46"/>
      <c r="D850" s="39"/>
      <c r="E850" s="39"/>
      <c r="F850" s="42"/>
      <c r="G850" s="42"/>
      <c r="H850" s="42"/>
      <c r="I850" s="42"/>
      <c r="J850" s="39"/>
      <c r="K850" s="42"/>
      <c r="L850" s="47"/>
      <c r="M850" s="43"/>
      <c r="N850" s="44"/>
      <c r="O850" s="29"/>
      <c r="P850" s="26"/>
      <c r="Q850" s="26"/>
      <c r="R850" s="26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>
      <c r="A851" s="39"/>
      <c r="B851" s="46"/>
      <c r="C851" s="46"/>
      <c r="D851" s="39"/>
      <c r="E851" s="39"/>
      <c r="F851" s="42"/>
      <c r="G851" s="42"/>
      <c r="H851" s="42"/>
      <c r="I851" s="42"/>
      <c r="J851" s="39"/>
      <c r="K851" s="42"/>
      <c r="L851" s="47"/>
      <c r="M851" s="43"/>
      <c r="N851" s="44"/>
      <c r="O851" s="29"/>
      <c r="P851" s="26"/>
      <c r="Q851" s="26"/>
      <c r="R851" s="26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>
      <c r="A852" s="39"/>
      <c r="B852" s="46"/>
      <c r="C852" s="46"/>
      <c r="D852" s="39"/>
      <c r="E852" s="39"/>
      <c r="F852" s="42"/>
      <c r="G852" s="42"/>
      <c r="H852" s="42"/>
      <c r="I852" s="42"/>
      <c r="J852" s="39"/>
      <c r="K852" s="42"/>
      <c r="L852" s="47"/>
      <c r="M852" s="43"/>
      <c r="N852" s="44"/>
      <c r="O852" s="29"/>
      <c r="P852" s="26"/>
      <c r="Q852" s="26"/>
      <c r="R852" s="26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>
      <c r="A853" s="39"/>
      <c r="B853" s="46"/>
      <c r="C853" s="46"/>
      <c r="D853" s="39"/>
      <c r="E853" s="39"/>
      <c r="F853" s="42"/>
      <c r="G853" s="42"/>
      <c r="H853" s="42"/>
      <c r="I853" s="42"/>
      <c r="J853" s="39"/>
      <c r="K853" s="42"/>
      <c r="L853" s="47"/>
      <c r="M853" s="43"/>
      <c r="N853" s="44"/>
      <c r="O853" s="29"/>
      <c r="P853" s="26"/>
      <c r="Q853" s="26"/>
      <c r="R853" s="26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>
      <c r="A854" s="39"/>
      <c r="B854" s="46"/>
      <c r="C854" s="46"/>
      <c r="D854" s="39"/>
      <c r="E854" s="39"/>
      <c r="F854" s="42"/>
      <c r="G854" s="42"/>
      <c r="H854" s="42"/>
      <c r="I854" s="42"/>
      <c r="J854" s="39"/>
      <c r="K854" s="42"/>
      <c r="L854" s="47"/>
      <c r="M854" s="43"/>
      <c r="N854" s="44"/>
      <c r="O854" s="29"/>
      <c r="P854" s="26"/>
      <c r="Q854" s="26"/>
      <c r="R854" s="26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>
      <c r="A855" s="39"/>
      <c r="B855" s="46"/>
      <c r="C855" s="46"/>
      <c r="D855" s="39"/>
      <c r="E855" s="39"/>
      <c r="F855" s="42"/>
      <c r="G855" s="42"/>
      <c r="H855" s="42"/>
      <c r="I855" s="42"/>
      <c r="J855" s="39"/>
      <c r="K855" s="42"/>
      <c r="L855" s="47"/>
      <c r="M855" s="43"/>
      <c r="N855" s="44"/>
      <c r="O855" s="29"/>
      <c r="P855" s="26"/>
      <c r="Q855" s="26"/>
      <c r="R855" s="26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>
      <c r="A856" s="39"/>
      <c r="B856" s="46"/>
      <c r="C856" s="46"/>
      <c r="D856" s="39"/>
      <c r="E856" s="39"/>
      <c r="F856" s="42"/>
      <c r="G856" s="42"/>
      <c r="H856" s="42"/>
      <c r="I856" s="42"/>
      <c r="J856" s="39"/>
      <c r="K856" s="42"/>
      <c r="L856" s="47"/>
      <c r="M856" s="43"/>
      <c r="N856" s="44"/>
      <c r="O856" s="29"/>
      <c r="P856" s="26"/>
      <c r="Q856" s="26"/>
      <c r="R856" s="26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>
      <c r="A857" s="39"/>
      <c r="B857" s="46"/>
      <c r="C857" s="46"/>
      <c r="D857" s="39"/>
      <c r="E857" s="39"/>
      <c r="F857" s="42"/>
      <c r="G857" s="42"/>
      <c r="H857" s="42"/>
      <c r="I857" s="42"/>
      <c r="J857" s="39"/>
      <c r="K857" s="42"/>
      <c r="L857" s="47"/>
      <c r="M857" s="43"/>
      <c r="N857" s="44"/>
      <c r="O857" s="29"/>
      <c r="P857" s="26"/>
      <c r="Q857" s="26"/>
      <c r="R857" s="26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>
      <c r="A858" s="39"/>
      <c r="B858" s="46"/>
      <c r="C858" s="46"/>
      <c r="D858" s="39"/>
      <c r="E858" s="39"/>
      <c r="F858" s="42"/>
      <c r="G858" s="42"/>
      <c r="H858" s="42"/>
      <c r="I858" s="42"/>
      <c r="J858" s="39"/>
      <c r="K858" s="42"/>
      <c r="L858" s="47"/>
      <c r="M858" s="43"/>
      <c r="N858" s="44"/>
      <c r="O858" s="29"/>
      <c r="P858" s="26"/>
      <c r="Q858" s="26"/>
      <c r="R858" s="26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>
      <c r="A859" s="39"/>
      <c r="B859" s="46"/>
      <c r="C859" s="46"/>
      <c r="D859" s="39"/>
      <c r="E859" s="39"/>
      <c r="F859" s="42"/>
      <c r="G859" s="42"/>
      <c r="H859" s="42"/>
      <c r="I859" s="42"/>
      <c r="J859" s="39"/>
      <c r="K859" s="42"/>
      <c r="L859" s="47"/>
      <c r="M859" s="43"/>
      <c r="N859" s="44"/>
      <c r="O859" s="29"/>
      <c r="P859" s="26"/>
      <c r="Q859" s="26"/>
      <c r="R859" s="26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>
      <c r="A860" s="39"/>
      <c r="B860" s="46"/>
      <c r="C860" s="46"/>
      <c r="D860" s="39"/>
      <c r="E860" s="39"/>
      <c r="F860" s="42"/>
      <c r="G860" s="42"/>
      <c r="H860" s="42"/>
      <c r="I860" s="42"/>
      <c r="J860" s="39"/>
      <c r="K860" s="42"/>
      <c r="L860" s="47"/>
      <c r="M860" s="43"/>
      <c r="N860" s="44"/>
      <c r="O860" s="29"/>
      <c r="P860" s="26"/>
      <c r="Q860" s="26"/>
      <c r="R860" s="26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>
      <c r="A861" s="39"/>
      <c r="B861" s="46"/>
      <c r="C861" s="46"/>
      <c r="D861" s="39"/>
      <c r="E861" s="39"/>
      <c r="F861" s="42"/>
      <c r="G861" s="42"/>
      <c r="H861" s="42"/>
      <c r="I861" s="42"/>
      <c r="J861" s="39"/>
      <c r="K861" s="42"/>
      <c r="L861" s="47"/>
      <c r="M861" s="43"/>
      <c r="N861" s="44"/>
      <c r="O861" s="29"/>
      <c r="P861" s="26"/>
      <c r="Q861" s="26"/>
      <c r="R861" s="26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>
      <c r="A862" s="39"/>
      <c r="B862" s="46"/>
      <c r="C862" s="46"/>
      <c r="D862" s="39"/>
      <c r="E862" s="39"/>
      <c r="F862" s="42"/>
      <c r="G862" s="42"/>
      <c r="H862" s="42"/>
      <c r="I862" s="42"/>
      <c r="J862" s="39"/>
      <c r="K862" s="42"/>
      <c r="L862" s="47"/>
      <c r="M862" s="43"/>
      <c r="N862" s="44"/>
      <c r="O862" s="29"/>
      <c r="P862" s="26"/>
      <c r="Q862" s="26"/>
      <c r="R862" s="26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>
      <c r="A863" s="39"/>
      <c r="B863" s="46"/>
      <c r="C863" s="46"/>
      <c r="D863" s="39"/>
      <c r="E863" s="39"/>
      <c r="F863" s="42"/>
      <c r="G863" s="42"/>
      <c r="H863" s="42"/>
      <c r="I863" s="42"/>
      <c r="J863" s="39"/>
      <c r="K863" s="42"/>
      <c r="L863" s="47"/>
      <c r="M863" s="43"/>
      <c r="N863" s="44"/>
      <c r="O863" s="29"/>
      <c r="P863" s="26"/>
      <c r="Q863" s="26"/>
      <c r="R863" s="26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>
      <c r="A864" s="39"/>
      <c r="B864" s="46"/>
      <c r="C864" s="46"/>
      <c r="D864" s="39"/>
      <c r="E864" s="39"/>
      <c r="F864" s="42"/>
      <c r="G864" s="42"/>
      <c r="H864" s="42"/>
      <c r="I864" s="42"/>
      <c r="J864" s="39"/>
      <c r="K864" s="42"/>
      <c r="L864" s="47"/>
      <c r="M864" s="43"/>
      <c r="N864" s="44"/>
      <c r="O864" s="29"/>
      <c r="P864" s="26"/>
      <c r="Q864" s="26"/>
      <c r="R864" s="26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>
      <c r="A865" s="39"/>
      <c r="B865" s="46"/>
      <c r="C865" s="46"/>
      <c r="D865" s="39"/>
      <c r="E865" s="39"/>
      <c r="F865" s="42"/>
      <c r="G865" s="42"/>
      <c r="H865" s="42"/>
      <c r="I865" s="42"/>
      <c r="J865" s="39"/>
      <c r="K865" s="42"/>
      <c r="L865" s="47"/>
      <c r="M865" s="43"/>
      <c r="N865" s="44"/>
      <c r="O865" s="29"/>
      <c r="P865" s="26"/>
      <c r="Q865" s="26"/>
      <c r="R865" s="26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>
      <c r="A866" s="39"/>
      <c r="B866" s="46"/>
      <c r="C866" s="46"/>
      <c r="D866" s="39"/>
      <c r="E866" s="39"/>
      <c r="F866" s="42"/>
      <c r="G866" s="42"/>
      <c r="H866" s="42"/>
      <c r="I866" s="42"/>
      <c r="J866" s="39"/>
      <c r="K866" s="42"/>
      <c r="L866" s="47"/>
      <c r="M866" s="43"/>
      <c r="N866" s="44"/>
      <c r="O866" s="29"/>
      <c r="P866" s="26"/>
      <c r="Q866" s="26"/>
      <c r="R866" s="26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>
      <c r="A867" s="39"/>
      <c r="B867" s="46"/>
      <c r="C867" s="46"/>
      <c r="D867" s="39"/>
      <c r="E867" s="39"/>
      <c r="F867" s="42"/>
      <c r="G867" s="42"/>
      <c r="H867" s="42"/>
      <c r="I867" s="42"/>
      <c r="J867" s="39"/>
      <c r="K867" s="42"/>
      <c r="L867" s="47"/>
      <c r="M867" s="43"/>
      <c r="N867" s="44"/>
      <c r="O867" s="29"/>
      <c r="P867" s="26"/>
      <c r="Q867" s="26"/>
      <c r="R867" s="26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>
      <c r="A868" s="39"/>
      <c r="B868" s="46"/>
      <c r="C868" s="46"/>
      <c r="D868" s="39"/>
      <c r="E868" s="39"/>
      <c r="F868" s="42"/>
      <c r="G868" s="42"/>
      <c r="H868" s="42"/>
      <c r="I868" s="42"/>
      <c r="J868" s="39"/>
      <c r="K868" s="42"/>
      <c r="L868" s="47"/>
      <c r="M868" s="43"/>
      <c r="N868" s="44"/>
      <c r="O868" s="29"/>
      <c r="P868" s="26"/>
      <c r="Q868" s="26"/>
      <c r="R868" s="26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>
      <c r="A869" s="39"/>
      <c r="B869" s="46"/>
      <c r="C869" s="46"/>
      <c r="D869" s="39"/>
      <c r="E869" s="39"/>
      <c r="F869" s="42"/>
      <c r="G869" s="42"/>
      <c r="H869" s="42"/>
      <c r="I869" s="42"/>
      <c r="J869" s="39"/>
      <c r="K869" s="42"/>
      <c r="L869" s="47"/>
      <c r="M869" s="43"/>
      <c r="N869" s="44"/>
      <c r="O869" s="29"/>
      <c r="P869" s="26"/>
      <c r="Q869" s="26"/>
      <c r="R869" s="26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>
      <c r="A870" s="39"/>
      <c r="B870" s="46"/>
      <c r="C870" s="46"/>
      <c r="D870" s="39"/>
      <c r="E870" s="39"/>
      <c r="F870" s="42"/>
      <c r="G870" s="42"/>
      <c r="H870" s="42"/>
      <c r="I870" s="42"/>
      <c r="J870" s="39"/>
      <c r="K870" s="42"/>
      <c r="L870" s="47"/>
      <c r="M870" s="43"/>
      <c r="N870" s="44"/>
      <c r="O870" s="29"/>
      <c r="P870" s="26"/>
      <c r="Q870" s="26"/>
      <c r="R870" s="26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>
      <c r="A871" s="39"/>
      <c r="B871" s="46"/>
      <c r="C871" s="46"/>
      <c r="D871" s="39"/>
      <c r="E871" s="39"/>
      <c r="F871" s="42"/>
      <c r="G871" s="42"/>
      <c r="H871" s="42"/>
      <c r="I871" s="42"/>
      <c r="J871" s="39"/>
      <c r="K871" s="42"/>
      <c r="L871" s="47"/>
      <c r="M871" s="43"/>
      <c r="N871" s="44"/>
      <c r="O871" s="29"/>
      <c r="P871" s="26"/>
      <c r="Q871" s="26"/>
      <c r="R871" s="26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>
      <c r="A872" s="39"/>
      <c r="B872" s="46"/>
      <c r="C872" s="46"/>
      <c r="D872" s="39"/>
      <c r="E872" s="39"/>
      <c r="F872" s="42"/>
      <c r="G872" s="42"/>
      <c r="H872" s="42"/>
      <c r="I872" s="42"/>
      <c r="J872" s="39"/>
      <c r="K872" s="42"/>
      <c r="L872" s="47"/>
      <c r="M872" s="43"/>
      <c r="N872" s="44"/>
      <c r="O872" s="29"/>
      <c r="P872" s="26"/>
      <c r="Q872" s="26"/>
      <c r="R872" s="26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>
      <c r="A873" s="39"/>
      <c r="B873" s="46"/>
      <c r="C873" s="46"/>
      <c r="D873" s="39"/>
      <c r="E873" s="39"/>
      <c r="F873" s="42"/>
      <c r="G873" s="42"/>
      <c r="H873" s="42"/>
      <c r="I873" s="42"/>
      <c r="J873" s="39"/>
      <c r="K873" s="42"/>
      <c r="L873" s="47"/>
      <c r="M873" s="43"/>
      <c r="N873" s="44"/>
      <c r="O873" s="29"/>
      <c r="P873" s="26"/>
      <c r="Q873" s="26"/>
      <c r="R873" s="26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>
      <c r="A874" s="39"/>
      <c r="B874" s="46"/>
      <c r="C874" s="46"/>
      <c r="D874" s="39"/>
      <c r="E874" s="39"/>
      <c r="F874" s="42"/>
      <c r="G874" s="42"/>
      <c r="H874" s="42"/>
      <c r="I874" s="42"/>
      <c r="J874" s="39"/>
      <c r="K874" s="42"/>
      <c r="L874" s="47"/>
      <c r="M874" s="43"/>
      <c r="N874" s="44"/>
      <c r="O874" s="29"/>
      <c r="P874" s="26"/>
      <c r="Q874" s="26"/>
      <c r="R874" s="26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>
      <c r="A875" s="39"/>
      <c r="B875" s="46"/>
      <c r="C875" s="46"/>
      <c r="D875" s="39"/>
      <c r="E875" s="39"/>
      <c r="F875" s="42"/>
      <c r="G875" s="42"/>
      <c r="H875" s="42"/>
      <c r="I875" s="42"/>
      <c r="J875" s="39"/>
      <c r="K875" s="42"/>
      <c r="L875" s="47"/>
      <c r="M875" s="43"/>
      <c r="N875" s="44"/>
      <c r="O875" s="29"/>
      <c r="P875" s="26"/>
      <c r="Q875" s="26"/>
      <c r="R875" s="26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>
      <c r="A876" s="39"/>
      <c r="B876" s="46"/>
      <c r="C876" s="46"/>
      <c r="D876" s="39"/>
      <c r="E876" s="39"/>
      <c r="F876" s="42"/>
      <c r="G876" s="42"/>
      <c r="H876" s="42"/>
      <c r="I876" s="42"/>
      <c r="J876" s="39"/>
      <c r="K876" s="42"/>
      <c r="L876" s="47"/>
      <c r="M876" s="43"/>
      <c r="N876" s="44"/>
      <c r="O876" s="29"/>
      <c r="P876" s="26"/>
      <c r="Q876" s="26"/>
      <c r="R876" s="26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>
      <c r="A877" s="39"/>
      <c r="B877" s="46"/>
      <c r="C877" s="46"/>
      <c r="D877" s="39"/>
      <c r="E877" s="39"/>
      <c r="F877" s="42"/>
      <c r="G877" s="42"/>
      <c r="H877" s="42"/>
      <c r="I877" s="42"/>
      <c r="J877" s="39"/>
      <c r="K877" s="42"/>
      <c r="L877" s="47"/>
      <c r="M877" s="43"/>
      <c r="N877" s="44"/>
      <c r="O877" s="29"/>
      <c r="P877" s="26"/>
      <c r="Q877" s="26"/>
      <c r="R877" s="26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>
      <c r="A878" s="39"/>
      <c r="B878" s="46"/>
      <c r="C878" s="46"/>
      <c r="D878" s="39"/>
      <c r="E878" s="39"/>
      <c r="F878" s="42"/>
      <c r="G878" s="42"/>
      <c r="H878" s="42"/>
      <c r="I878" s="42"/>
      <c r="J878" s="39"/>
      <c r="K878" s="42"/>
      <c r="L878" s="47"/>
      <c r="M878" s="43"/>
      <c r="N878" s="44"/>
      <c r="O878" s="29"/>
      <c r="P878" s="26"/>
      <c r="Q878" s="26"/>
      <c r="R878" s="26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>
      <c r="A879" s="39"/>
      <c r="B879" s="46"/>
      <c r="C879" s="46"/>
      <c r="D879" s="39"/>
      <c r="E879" s="39"/>
      <c r="F879" s="42"/>
      <c r="G879" s="42"/>
      <c r="H879" s="42"/>
      <c r="I879" s="42"/>
      <c r="J879" s="39"/>
      <c r="K879" s="42"/>
      <c r="L879" s="47"/>
      <c r="M879" s="43"/>
      <c r="N879" s="44"/>
      <c r="O879" s="29"/>
      <c r="P879" s="26"/>
      <c r="Q879" s="26"/>
      <c r="R879" s="26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>
      <c r="A880" s="39"/>
      <c r="B880" s="46"/>
      <c r="C880" s="46"/>
      <c r="D880" s="39"/>
      <c r="E880" s="39"/>
      <c r="F880" s="42"/>
      <c r="G880" s="42"/>
      <c r="H880" s="42"/>
      <c r="I880" s="42"/>
      <c r="J880" s="39"/>
      <c r="K880" s="42"/>
      <c r="L880" s="47"/>
      <c r="M880" s="43"/>
      <c r="N880" s="44"/>
      <c r="O880" s="29"/>
      <c r="P880" s="26"/>
      <c r="Q880" s="26"/>
      <c r="R880" s="26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>
      <c r="A881" s="39"/>
      <c r="B881" s="46"/>
      <c r="C881" s="46"/>
      <c r="D881" s="39"/>
      <c r="E881" s="39"/>
      <c r="F881" s="42"/>
      <c r="G881" s="42"/>
      <c r="H881" s="42"/>
      <c r="I881" s="42"/>
      <c r="J881" s="39"/>
      <c r="K881" s="42"/>
      <c r="L881" s="47"/>
      <c r="M881" s="43"/>
      <c r="N881" s="44"/>
      <c r="O881" s="29"/>
      <c r="P881" s="26"/>
      <c r="Q881" s="26"/>
      <c r="R881" s="26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>
      <c r="A882" s="39"/>
      <c r="B882" s="46"/>
      <c r="C882" s="46"/>
      <c r="D882" s="39"/>
      <c r="E882" s="39"/>
      <c r="F882" s="42"/>
      <c r="G882" s="42"/>
      <c r="H882" s="42"/>
      <c r="I882" s="42"/>
      <c r="J882" s="39"/>
      <c r="K882" s="42"/>
      <c r="L882" s="47"/>
      <c r="M882" s="43"/>
      <c r="N882" s="44"/>
      <c r="O882" s="29"/>
      <c r="P882" s="26"/>
      <c r="Q882" s="26"/>
      <c r="R882" s="26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>
      <c r="A883" s="39"/>
      <c r="B883" s="46"/>
      <c r="C883" s="46"/>
      <c r="D883" s="39"/>
      <c r="E883" s="39"/>
      <c r="F883" s="42"/>
      <c r="G883" s="42"/>
      <c r="H883" s="42"/>
      <c r="I883" s="42"/>
      <c r="J883" s="39"/>
      <c r="K883" s="42"/>
      <c r="L883" s="47"/>
      <c r="M883" s="43"/>
      <c r="N883" s="44"/>
      <c r="O883" s="29"/>
      <c r="P883" s="26"/>
      <c r="Q883" s="26"/>
      <c r="R883" s="26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>
      <c r="A884" s="39"/>
      <c r="B884" s="46"/>
      <c r="C884" s="46"/>
      <c r="D884" s="39"/>
      <c r="E884" s="39"/>
      <c r="F884" s="42"/>
      <c r="G884" s="42"/>
      <c r="H884" s="42"/>
      <c r="I884" s="42"/>
      <c r="J884" s="39"/>
      <c r="K884" s="42"/>
      <c r="L884" s="47"/>
      <c r="M884" s="43"/>
      <c r="N884" s="44"/>
      <c r="O884" s="29"/>
      <c r="P884" s="26"/>
      <c r="Q884" s="26"/>
      <c r="R884" s="26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>
      <c r="A885" s="39"/>
      <c r="B885" s="46"/>
      <c r="C885" s="46"/>
      <c r="D885" s="39"/>
      <c r="E885" s="39"/>
      <c r="F885" s="42"/>
      <c r="G885" s="42"/>
      <c r="H885" s="42"/>
      <c r="I885" s="42"/>
      <c r="J885" s="39"/>
      <c r="K885" s="42"/>
      <c r="L885" s="47"/>
      <c r="M885" s="43"/>
      <c r="N885" s="44"/>
      <c r="O885" s="29"/>
      <c r="P885" s="26"/>
      <c r="Q885" s="26"/>
      <c r="R885" s="26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>
      <c r="A886" s="39"/>
      <c r="B886" s="46"/>
      <c r="C886" s="46"/>
      <c r="D886" s="39"/>
      <c r="E886" s="39"/>
      <c r="F886" s="42"/>
      <c r="G886" s="42"/>
      <c r="H886" s="42"/>
      <c r="I886" s="42"/>
      <c r="J886" s="39"/>
      <c r="K886" s="42"/>
      <c r="L886" s="47"/>
      <c r="M886" s="43"/>
      <c r="N886" s="44"/>
      <c r="O886" s="29"/>
      <c r="P886" s="26"/>
      <c r="Q886" s="26"/>
      <c r="R886" s="26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>
      <c r="A887" s="39"/>
      <c r="B887" s="46"/>
      <c r="C887" s="46"/>
      <c r="D887" s="39"/>
      <c r="E887" s="39"/>
      <c r="F887" s="42"/>
      <c r="G887" s="42"/>
      <c r="H887" s="42"/>
      <c r="I887" s="42"/>
      <c r="J887" s="39"/>
      <c r="K887" s="42"/>
      <c r="L887" s="47"/>
      <c r="M887" s="43"/>
      <c r="N887" s="44"/>
      <c r="O887" s="29"/>
      <c r="P887" s="26"/>
      <c r="Q887" s="26"/>
      <c r="R887" s="26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>
      <c r="A888" s="39"/>
      <c r="B888" s="46"/>
      <c r="C888" s="46"/>
      <c r="D888" s="39"/>
      <c r="E888" s="39"/>
      <c r="F888" s="42"/>
      <c r="G888" s="42"/>
      <c r="H888" s="42"/>
      <c r="I888" s="42"/>
      <c r="J888" s="39"/>
      <c r="K888" s="42"/>
      <c r="L888" s="47"/>
      <c r="M888" s="43"/>
      <c r="N888" s="44"/>
      <c r="O888" s="29"/>
      <c r="P888" s="26"/>
      <c r="Q888" s="26"/>
      <c r="R888" s="26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>
      <c r="A889" s="39"/>
      <c r="B889" s="46"/>
      <c r="C889" s="46"/>
      <c r="D889" s="39"/>
      <c r="E889" s="39"/>
      <c r="F889" s="42"/>
      <c r="G889" s="42"/>
      <c r="H889" s="42"/>
      <c r="I889" s="42"/>
      <c r="J889" s="39"/>
      <c r="K889" s="42"/>
      <c r="L889" s="47"/>
      <c r="M889" s="43"/>
      <c r="N889" s="44"/>
      <c r="O889" s="29"/>
      <c r="P889" s="26"/>
      <c r="Q889" s="26"/>
      <c r="R889" s="26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>
      <c r="A890" s="39"/>
      <c r="B890" s="46"/>
      <c r="C890" s="46"/>
      <c r="D890" s="39"/>
      <c r="E890" s="39"/>
      <c r="F890" s="42"/>
      <c r="G890" s="42"/>
      <c r="H890" s="42"/>
      <c r="I890" s="42"/>
      <c r="J890" s="39"/>
      <c r="K890" s="42"/>
      <c r="L890" s="47"/>
      <c r="M890" s="43"/>
      <c r="N890" s="44"/>
      <c r="O890" s="29"/>
      <c r="P890" s="26"/>
      <c r="Q890" s="26"/>
      <c r="R890" s="26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>
      <c r="A891" s="39"/>
      <c r="B891" s="46"/>
      <c r="C891" s="46"/>
      <c r="D891" s="39"/>
      <c r="E891" s="39"/>
      <c r="F891" s="42"/>
      <c r="G891" s="42"/>
      <c r="H891" s="42"/>
      <c r="I891" s="42"/>
      <c r="J891" s="39"/>
      <c r="K891" s="42"/>
      <c r="L891" s="47"/>
      <c r="M891" s="43"/>
      <c r="N891" s="44"/>
      <c r="O891" s="29"/>
      <c r="P891" s="26"/>
      <c r="Q891" s="26"/>
      <c r="R891" s="26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>
      <c r="A892" s="39"/>
      <c r="B892" s="46"/>
      <c r="C892" s="46"/>
      <c r="D892" s="39"/>
      <c r="E892" s="39"/>
      <c r="F892" s="42"/>
      <c r="G892" s="42"/>
      <c r="H892" s="42"/>
      <c r="I892" s="42"/>
      <c r="J892" s="39"/>
      <c r="K892" s="42"/>
      <c r="L892" s="47"/>
      <c r="M892" s="43"/>
      <c r="N892" s="44"/>
      <c r="O892" s="29"/>
      <c r="P892" s="26"/>
      <c r="Q892" s="26"/>
      <c r="R892" s="26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>
      <c r="A893" s="39"/>
      <c r="B893" s="46"/>
      <c r="C893" s="46"/>
      <c r="D893" s="39"/>
      <c r="E893" s="39"/>
      <c r="F893" s="42"/>
      <c r="G893" s="42"/>
      <c r="H893" s="42"/>
      <c r="I893" s="42"/>
      <c r="J893" s="39"/>
      <c r="K893" s="42"/>
      <c r="L893" s="47"/>
      <c r="M893" s="43"/>
      <c r="N893" s="44"/>
      <c r="O893" s="29"/>
      <c r="P893" s="26"/>
      <c r="Q893" s="26"/>
      <c r="R893" s="26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>
      <c r="A894" s="39"/>
      <c r="B894" s="46"/>
      <c r="C894" s="46"/>
      <c r="D894" s="39"/>
      <c r="E894" s="39"/>
      <c r="F894" s="42"/>
      <c r="G894" s="42"/>
      <c r="H894" s="42"/>
      <c r="I894" s="42"/>
      <c r="J894" s="39"/>
      <c r="K894" s="42"/>
      <c r="L894" s="47"/>
      <c r="M894" s="43"/>
      <c r="N894" s="44"/>
      <c r="O894" s="29"/>
      <c r="P894" s="26"/>
      <c r="Q894" s="26"/>
      <c r="R894" s="26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>
      <c r="A895" s="39"/>
      <c r="B895" s="46"/>
      <c r="C895" s="46"/>
      <c r="D895" s="39"/>
      <c r="E895" s="39"/>
      <c r="F895" s="42"/>
      <c r="G895" s="42"/>
      <c r="H895" s="42"/>
      <c r="I895" s="42"/>
      <c r="J895" s="39"/>
      <c r="K895" s="42"/>
      <c r="L895" s="47"/>
      <c r="M895" s="43"/>
      <c r="N895" s="44"/>
      <c r="O895" s="29"/>
      <c r="P895" s="26"/>
      <c r="Q895" s="26"/>
      <c r="R895" s="26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>
      <c r="A896" s="39"/>
      <c r="B896" s="46"/>
      <c r="C896" s="46"/>
      <c r="D896" s="39"/>
      <c r="E896" s="39"/>
      <c r="F896" s="42"/>
      <c r="G896" s="42"/>
      <c r="H896" s="42"/>
      <c r="I896" s="42"/>
      <c r="J896" s="39"/>
      <c r="K896" s="42"/>
      <c r="L896" s="47"/>
      <c r="M896" s="43"/>
      <c r="N896" s="44"/>
      <c r="O896" s="29"/>
      <c r="P896" s="26"/>
      <c r="Q896" s="26"/>
      <c r="R896" s="26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>
      <c r="A897" s="39"/>
      <c r="B897" s="46"/>
      <c r="C897" s="46"/>
      <c r="D897" s="39"/>
      <c r="E897" s="39"/>
      <c r="F897" s="42"/>
      <c r="G897" s="42"/>
      <c r="H897" s="42"/>
      <c r="I897" s="42"/>
      <c r="J897" s="39"/>
      <c r="K897" s="42"/>
      <c r="L897" s="47"/>
      <c r="M897" s="43"/>
      <c r="N897" s="44"/>
      <c r="O897" s="29"/>
      <c r="P897" s="26"/>
      <c r="Q897" s="26"/>
      <c r="R897" s="26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>
      <c r="A898" s="39"/>
      <c r="B898" s="46"/>
      <c r="C898" s="46"/>
      <c r="D898" s="39"/>
      <c r="E898" s="39"/>
      <c r="F898" s="42"/>
      <c r="G898" s="42"/>
      <c r="H898" s="42"/>
      <c r="I898" s="42"/>
      <c r="J898" s="39"/>
      <c r="K898" s="42"/>
      <c r="L898" s="47"/>
      <c r="M898" s="43"/>
      <c r="N898" s="44"/>
      <c r="O898" s="29"/>
      <c r="P898" s="26"/>
      <c r="Q898" s="26"/>
      <c r="R898" s="26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>
      <c r="A899" s="39"/>
      <c r="B899" s="46"/>
      <c r="C899" s="46"/>
      <c r="D899" s="39"/>
      <c r="E899" s="39"/>
      <c r="F899" s="42"/>
      <c r="G899" s="42"/>
      <c r="H899" s="42"/>
      <c r="I899" s="42"/>
      <c r="J899" s="39"/>
      <c r="K899" s="42"/>
      <c r="L899" s="47"/>
      <c r="M899" s="43"/>
      <c r="N899" s="44"/>
      <c r="O899" s="29"/>
      <c r="P899" s="26"/>
      <c r="Q899" s="26"/>
      <c r="R899" s="26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>
      <c r="A900" s="39"/>
      <c r="B900" s="46"/>
      <c r="C900" s="46"/>
      <c r="D900" s="39"/>
      <c r="E900" s="39"/>
      <c r="F900" s="42"/>
      <c r="G900" s="42"/>
      <c r="H900" s="42"/>
      <c r="I900" s="42"/>
      <c r="J900" s="39"/>
      <c r="K900" s="42"/>
      <c r="L900" s="47"/>
      <c r="M900" s="43"/>
      <c r="N900" s="44"/>
      <c r="O900" s="29"/>
      <c r="P900" s="26"/>
      <c r="Q900" s="26"/>
      <c r="R900" s="26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>
      <c r="A901" s="39"/>
      <c r="B901" s="46"/>
      <c r="C901" s="46"/>
      <c r="D901" s="39"/>
      <c r="E901" s="39"/>
      <c r="F901" s="42"/>
      <c r="G901" s="42"/>
      <c r="H901" s="42"/>
      <c r="I901" s="42"/>
      <c r="J901" s="39"/>
      <c r="K901" s="42"/>
      <c r="L901" s="47"/>
      <c r="M901" s="43"/>
      <c r="N901" s="44"/>
      <c r="O901" s="29"/>
      <c r="P901" s="26"/>
      <c r="Q901" s="26"/>
      <c r="R901" s="26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>
      <c r="A902" s="39"/>
      <c r="B902" s="46"/>
      <c r="C902" s="46"/>
      <c r="D902" s="39"/>
      <c r="E902" s="39"/>
      <c r="F902" s="42"/>
      <c r="G902" s="42"/>
      <c r="H902" s="42"/>
      <c r="I902" s="42"/>
      <c r="J902" s="39"/>
      <c r="K902" s="42"/>
      <c r="L902" s="47"/>
      <c r="M902" s="43"/>
      <c r="N902" s="44"/>
      <c r="O902" s="29"/>
      <c r="P902" s="26"/>
      <c r="Q902" s="26"/>
      <c r="R902" s="26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>
      <c r="A903" s="39"/>
      <c r="B903" s="46"/>
      <c r="C903" s="46"/>
      <c r="D903" s="39"/>
      <c r="E903" s="39"/>
      <c r="F903" s="42"/>
      <c r="G903" s="42"/>
      <c r="H903" s="42"/>
      <c r="I903" s="42"/>
      <c r="J903" s="39"/>
      <c r="K903" s="42"/>
      <c r="L903" s="47"/>
      <c r="M903" s="43"/>
      <c r="N903" s="44"/>
      <c r="O903" s="29"/>
      <c r="P903" s="26"/>
      <c r="Q903" s="26"/>
      <c r="R903" s="26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>
      <c r="A904" s="39"/>
      <c r="B904" s="46"/>
      <c r="C904" s="46"/>
      <c r="D904" s="39"/>
      <c r="E904" s="39"/>
      <c r="F904" s="42"/>
      <c r="G904" s="42"/>
      <c r="H904" s="42"/>
      <c r="I904" s="42"/>
      <c r="J904" s="39"/>
      <c r="K904" s="42"/>
      <c r="L904" s="47"/>
      <c r="M904" s="43"/>
      <c r="N904" s="44"/>
      <c r="O904" s="29"/>
      <c r="P904" s="26"/>
      <c r="Q904" s="26"/>
      <c r="R904" s="26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>
      <c r="A905" s="39"/>
      <c r="B905" s="46"/>
      <c r="C905" s="46"/>
      <c r="D905" s="39"/>
      <c r="E905" s="39"/>
      <c r="F905" s="42"/>
      <c r="G905" s="42"/>
      <c r="H905" s="42"/>
      <c r="I905" s="42"/>
      <c r="J905" s="39"/>
      <c r="K905" s="42"/>
      <c r="L905" s="47"/>
      <c r="M905" s="43"/>
      <c r="N905" s="44"/>
      <c r="O905" s="29"/>
      <c r="P905" s="26"/>
      <c r="Q905" s="26"/>
      <c r="R905" s="26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>
      <c r="A906" s="39"/>
      <c r="B906" s="46"/>
      <c r="C906" s="46"/>
      <c r="D906" s="39"/>
      <c r="E906" s="39"/>
      <c r="F906" s="42"/>
      <c r="G906" s="42"/>
      <c r="H906" s="42"/>
      <c r="I906" s="42"/>
      <c r="J906" s="39"/>
      <c r="K906" s="42"/>
      <c r="L906" s="47"/>
      <c r="M906" s="43"/>
      <c r="N906" s="44"/>
      <c r="O906" s="29"/>
      <c r="P906" s="26"/>
      <c r="Q906" s="26"/>
      <c r="R906" s="26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>
      <c r="A907" s="39"/>
      <c r="B907" s="46"/>
      <c r="C907" s="46"/>
      <c r="D907" s="39"/>
      <c r="E907" s="39"/>
      <c r="F907" s="42"/>
      <c r="G907" s="42"/>
      <c r="H907" s="42"/>
      <c r="I907" s="42"/>
      <c r="J907" s="39"/>
      <c r="K907" s="42"/>
      <c r="L907" s="47"/>
      <c r="M907" s="43"/>
      <c r="N907" s="44"/>
      <c r="O907" s="29"/>
      <c r="P907" s="26"/>
      <c r="Q907" s="26"/>
      <c r="R907" s="26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>
      <c r="A908" s="39"/>
      <c r="B908" s="46"/>
      <c r="C908" s="46"/>
      <c r="D908" s="39"/>
      <c r="E908" s="39"/>
      <c r="F908" s="42"/>
      <c r="G908" s="42"/>
      <c r="H908" s="42"/>
      <c r="I908" s="42"/>
      <c r="J908" s="39"/>
      <c r="K908" s="42"/>
      <c r="L908" s="47"/>
      <c r="M908" s="43"/>
      <c r="N908" s="44"/>
      <c r="O908" s="29"/>
      <c r="P908" s="26"/>
      <c r="Q908" s="26"/>
      <c r="R908" s="26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>
      <c r="A909" s="39"/>
      <c r="B909" s="46"/>
      <c r="C909" s="46"/>
      <c r="D909" s="39"/>
      <c r="E909" s="39"/>
      <c r="F909" s="42"/>
      <c r="G909" s="42"/>
      <c r="H909" s="42"/>
      <c r="I909" s="42"/>
      <c r="J909" s="39"/>
      <c r="K909" s="42"/>
      <c r="L909" s="47"/>
      <c r="M909" s="43"/>
      <c r="N909" s="44"/>
      <c r="O909" s="29"/>
      <c r="P909" s="26"/>
      <c r="Q909" s="26"/>
      <c r="R909" s="26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>
      <c r="A910" s="39"/>
      <c r="B910" s="46"/>
      <c r="C910" s="46"/>
      <c r="D910" s="39"/>
      <c r="E910" s="39"/>
      <c r="F910" s="42"/>
      <c r="G910" s="42"/>
      <c r="H910" s="42"/>
      <c r="I910" s="42"/>
      <c r="J910" s="39"/>
      <c r="K910" s="42"/>
      <c r="L910" s="47"/>
      <c r="M910" s="43"/>
      <c r="N910" s="44"/>
      <c r="O910" s="29"/>
      <c r="P910" s="26"/>
      <c r="Q910" s="26"/>
      <c r="R910" s="26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>
      <c r="A911" s="39"/>
      <c r="B911" s="46"/>
      <c r="C911" s="46"/>
      <c r="D911" s="39"/>
      <c r="E911" s="39"/>
      <c r="F911" s="42"/>
      <c r="G911" s="42"/>
      <c r="H911" s="42"/>
      <c r="I911" s="42"/>
      <c r="J911" s="39"/>
      <c r="K911" s="42"/>
      <c r="L911" s="47"/>
      <c r="M911" s="43"/>
      <c r="N911" s="44"/>
      <c r="O911" s="29"/>
      <c r="P911" s="26"/>
      <c r="Q911" s="26"/>
      <c r="R911" s="26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>
      <c r="A912" s="39"/>
      <c r="B912" s="46"/>
      <c r="C912" s="46"/>
      <c r="D912" s="39"/>
      <c r="E912" s="39"/>
      <c r="F912" s="42"/>
      <c r="G912" s="42"/>
      <c r="H912" s="42"/>
      <c r="I912" s="42"/>
      <c r="J912" s="39"/>
      <c r="K912" s="42"/>
      <c r="L912" s="47"/>
      <c r="M912" s="43"/>
      <c r="N912" s="44"/>
      <c r="O912" s="29"/>
      <c r="P912" s="26"/>
      <c r="Q912" s="26"/>
      <c r="R912" s="26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>
      <c r="A913" s="39"/>
      <c r="B913" s="46"/>
      <c r="C913" s="46"/>
      <c r="D913" s="39"/>
      <c r="E913" s="39"/>
      <c r="F913" s="42"/>
      <c r="G913" s="42"/>
      <c r="H913" s="42"/>
      <c r="I913" s="42"/>
      <c r="J913" s="39"/>
      <c r="K913" s="42"/>
      <c r="L913" s="47"/>
      <c r="M913" s="43"/>
      <c r="N913" s="44"/>
      <c r="O913" s="29"/>
      <c r="P913" s="26"/>
      <c r="Q913" s="26"/>
      <c r="R913" s="26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>
      <c r="A914" s="39"/>
      <c r="B914" s="46"/>
      <c r="C914" s="46"/>
      <c r="D914" s="39"/>
      <c r="E914" s="39"/>
      <c r="F914" s="42"/>
      <c r="G914" s="42"/>
      <c r="H914" s="42"/>
      <c r="I914" s="42"/>
      <c r="J914" s="39"/>
      <c r="K914" s="42"/>
      <c r="L914" s="47"/>
      <c r="M914" s="43"/>
      <c r="N914" s="44"/>
      <c r="O914" s="29"/>
      <c r="P914" s="26"/>
      <c r="Q914" s="26"/>
      <c r="R914" s="26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>
      <c r="A915" s="39"/>
      <c r="B915" s="46"/>
      <c r="C915" s="46"/>
      <c r="D915" s="39"/>
      <c r="E915" s="39"/>
      <c r="F915" s="42"/>
      <c r="G915" s="42"/>
      <c r="H915" s="42"/>
      <c r="I915" s="42"/>
      <c r="J915" s="39"/>
      <c r="K915" s="42"/>
      <c r="L915" s="47"/>
      <c r="M915" s="43"/>
      <c r="N915" s="44"/>
      <c r="O915" s="29"/>
      <c r="P915" s="26"/>
      <c r="Q915" s="26"/>
      <c r="R915" s="26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>
      <c r="A916" s="39"/>
      <c r="B916" s="46"/>
      <c r="C916" s="46"/>
      <c r="D916" s="39"/>
      <c r="E916" s="39"/>
      <c r="F916" s="42"/>
      <c r="G916" s="42"/>
      <c r="H916" s="42"/>
      <c r="I916" s="42"/>
      <c r="J916" s="39"/>
      <c r="K916" s="42"/>
      <c r="L916" s="47"/>
      <c r="M916" s="43"/>
      <c r="N916" s="44"/>
      <c r="O916" s="29"/>
      <c r="P916" s="26"/>
      <c r="Q916" s="26"/>
      <c r="R916" s="26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>
      <c r="A917" s="39"/>
      <c r="B917" s="46"/>
      <c r="C917" s="46"/>
      <c r="D917" s="39"/>
      <c r="E917" s="39"/>
      <c r="F917" s="42"/>
      <c r="G917" s="42"/>
      <c r="H917" s="42"/>
      <c r="I917" s="42"/>
      <c r="J917" s="39"/>
      <c r="K917" s="42"/>
      <c r="L917" s="47"/>
      <c r="M917" s="43"/>
      <c r="N917" s="44"/>
      <c r="O917" s="29"/>
      <c r="P917" s="26"/>
      <c r="Q917" s="26"/>
      <c r="R917" s="26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>
      <c r="A918" s="39"/>
      <c r="B918" s="46"/>
      <c r="C918" s="46"/>
      <c r="D918" s="39"/>
      <c r="E918" s="39"/>
      <c r="F918" s="42"/>
      <c r="G918" s="42"/>
      <c r="H918" s="42"/>
      <c r="I918" s="42"/>
      <c r="J918" s="39"/>
      <c r="K918" s="42"/>
      <c r="L918" s="47"/>
      <c r="M918" s="43"/>
      <c r="N918" s="44"/>
      <c r="O918" s="29"/>
      <c r="P918" s="26"/>
      <c r="Q918" s="26"/>
      <c r="R918" s="26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>
      <c r="A919" s="39"/>
      <c r="B919" s="46"/>
      <c r="C919" s="46"/>
      <c r="D919" s="39"/>
      <c r="E919" s="39"/>
      <c r="F919" s="42"/>
      <c r="G919" s="42"/>
      <c r="H919" s="42"/>
      <c r="I919" s="42"/>
      <c r="J919" s="39"/>
      <c r="K919" s="42"/>
      <c r="L919" s="47"/>
      <c r="M919" s="43"/>
      <c r="N919" s="44"/>
      <c r="O919" s="29"/>
      <c r="P919" s="26"/>
      <c r="Q919" s="26"/>
      <c r="R919" s="26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>
      <c r="A920" s="39"/>
      <c r="B920" s="46"/>
      <c r="C920" s="46"/>
      <c r="D920" s="39"/>
      <c r="E920" s="39"/>
      <c r="F920" s="42"/>
      <c r="G920" s="42"/>
      <c r="H920" s="42"/>
      <c r="I920" s="42"/>
      <c r="J920" s="39"/>
      <c r="K920" s="42"/>
      <c r="L920" s="47"/>
      <c r="M920" s="43"/>
      <c r="N920" s="44"/>
      <c r="O920" s="29"/>
      <c r="P920" s="26"/>
      <c r="Q920" s="26"/>
      <c r="R920" s="26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>
      <c r="A921" s="39"/>
      <c r="B921" s="46"/>
      <c r="C921" s="46"/>
      <c r="D921" s="39"/>
      <c r="E921" s="39"/>
      <c r="F921" s="42"/>
      <c r="G921" s="42"/>
      <c r="H921" s="42"/>
      <c r="I921" s="42"/>
      <c r="J921" s="39"/>
      <c r="K921" s="42"/>
      <c r="L921" s="47"/>
      <c r="M921" s="43"/>
      <c r="N921" s="44"/>
      <c r="O921" s="29"/>
      <c r="P921" s="26"/>
      <c r="Q921" s="26"/>
      <c r="R921" s="26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>
      <c r="A922" s="39"/>
      <c r="B922" s="46"/>
      <c r="C922" s="46"/>
      <c r="D922" s="39"/>
      <c r="E922" s="39"/>
      <c r="F922" s="42"/>
      <c r="G922" s="42"/>
      <c r="H922" s="42"/>
      <c r="I922" s="42"/>
      <c r="J922" s="39"/>
      <c r="K922" s="42"/>
      <c r="L922" s="47"/>
      <c r="M922" s="43"/>
      <c r="N922" s="44"/>
      <c r="O922" s="29"/>
      <c r="P922" s="26"/>
      <c r="Q922" s="26"/>
      <c r="R922" s="26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>
      <c r="A923" s="39"/>
      <c r="B923" s="46"/>
      <c r="C923" s="46"/>
      <c r="D923" s="39"/>
      <c r="E923" s="39"/>
      <c r="F923" s="42"/>
      <c r="G923" s="42"/>
      <c r="H923" s="42"/>
      <c r="I923" s="42"/>
      <c r="J923" s="39"/>
      <c r="K923" s="42"/>
      <c r="L923" s="47"/>
      <c r="M923" s="43"/>
      <c r="N923" s="44"/>
      <c r="O923" s="29"/>
      <c r="P923" s="26"/>
      <c r="Q923" s="26"/>
      <c r="R923" s="26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>
      <c r="A924" s="39"/>
      <c r="B924" s="46"/>
      <c r="C924" s="46"/>
      <c r="D924" s="39"/>
      <c r="E924" s="39"/>
      <c r="F924" s="42"/>
      <c r="G924" s="42"/>
      <c r="H924" s="42"/>
      <c r="I924" s="42"/>
      <c r="J924" s="39"/>
      <c r="K924" s="42"/>
      <c r="L924" s="47"/>
      <c r="M924" s="43"/>
      <c r="N924" s="44"/>
      <c r="O924" s="29"/>
      <c r="P924" s="26"/>
      <c r="Q924" s="26"/>
      <c r="R924" s="26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>
      <c r="A925" s="39"/>
      <c r="B925" s="46"/>
      <c r="C925" s="46"/>
      <c r="D925" s="39"/>
      <c r="E925" s="39"/>
      <c r="F925" s="42"/>
      <c r="G925" s="42"/>
      <c r="H925" s="42"/>
      <c r="I925" s="42"/>
      <c r="J925" s="39"/>
      <c r="K925" s="42"/>
      <c r="L925" s="47"/>
      <c r="M925" s="43"/>
      <c r="N925" s="44"/>
      <c r="O925" s="29"/>
      <c r="P925" s="26"/>
      <c r="Q925" s="26"/>
      <c r="R925" s="26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>
      <c r="A926" s="39"/>
      <c r="B926" s="46"/>
      <c r="C926" s="46"/>
      <c r="D926" s="39"/>
      <c r="E926" s="39"/>
      <c r="F926" s="42"/>
      <c r="G926" s="42"/>
      <c r="H926" s="42"/>
      <c r="I926" s="42"/>
      <c r="J926" s="39"/>
      <c r="K926" s="42"/>
      <c r="L926" s="47"/>
      <c r="M926" s="43"/>
      <c r="N926" s="44"/>
      <c r="O926" s="29"/>
      <c r="P926" s="26"/>
      <c r="Q926" s="26"/>
      <c r="R926" s="26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>
      <c r="A927" s="39"/>
      <c r="B927" s="46"/>
      <c r="C927" s="46"/>
      <c r="D927" s="39"/>
      <c r="E927" s="39"/>
      <c r="F927" s="42"/>
      <c r="G927" s="42"/>
      <c r="H927" s="42"/>
      <c r="I927" s="42"/>
      <c r="J927" s="39"/>
      <c r="K927" s="42"/>
      <c r="L927" s="47"/>
      <c r="M927" s="43"/>
      <c r="N927" s="44"/>
      <c r="O927" s="29"/>
      <c r="P927" s="26"/>
      <c r="Q927" s="26"/>
      <c r="R927" s="26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>
      <c r="A928" s="39"/>
      <c r="B928" s="46"/>
      <c r="C928" s="46"/>
      <c r="D928" s="39"/>
      <c r="E928" s="39"/>
      <c r="F928" s="42"/>
      <c r="G928" s="42"/>
      <c r="H928" s="42"/>
      <c r="I928" s="42"/>
      <c r="J928" s="39"/>
      <c r="K928" s="42"/>
      <c r="L928" s="47"/>
      <c r="M928" s="43"/>
      <c r="N928" s="44"/>
      <c r="O928" s="29"/>
      <c r="P928" s="26"/>
      <c r="Q928" s="26"/>
      <c r="R928" s="26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>
      <c r="A929" s="39"/>
      <c r="B929" s="46"/>
      <c r="C929" s="46"/>
      <c r="D929" s="39"/>
      <c r="E929" s="39"/>
      <c r="F929" s="42"/>
      <c r="G929" s="42"/>
      <c r="H929" s="42"/>
      <c r="I929" s="42"/>
      <c r="J929" s="39"/>
      <c r="K929" s="42"/>
      <c r="L929" s="47"/>
      <c r="M929" s="43"/>
      <c r="N929" s="44"/>
      <c r="O929" s="29"/>
      <c r="P929" s="26"/>
      <c r="Q929" s="26"/>
      <c r="R929" s="26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>
      <c r="A930" s="39"/>
      <c r="B930" s="46"/>
      <c r="C930" s="46"/>
      <c r="D930" s="39"/>
      <c r="E930" s="39"/>
      <c r="F930" s="42"/>
      <c r="G930" s="42"/>
      <c r="H930" s="42"/>
      <c r="I930" s="42"/>
      <c r="J930" s="39"/>
      <c r="K930" s="42"/>
      <c r="L930" s="47"/>
      <c r="M930" s="43"/>
      <c r="N930" s="44"/>
      <c r="O930" s="29"/>
      <c r="P930" s="26"/>
      <c r="Q930" s="26"/>
      <c r="R930" s="26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>
      <c r="A931" s="39"/>
      <c r="B931" s="46"/>
      <c r="C931" s="46"/>
      <c r="D931" s="39"/>
      <c r="E931" s="39"/>
      <c r="F931" s="42"/>
      <c r="G931" s="42"/>
      <c r="H931" s="42"/>
      <c r="I931" s="42"/>
      <c r="J931" s="39"/>
      <c r="K931" s="42"/>
      <c r="L931" s="47"/>
      <c r="M931" s="43"/>
      <c r="N931" s="44"/>
      <c r="O931" s="29"/>
      <c r="P931" s="26"/>
      <c r="Q931" s="26"/>
      <c r="R931" s="26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>
      <c r="A932" s="39"/>
      <c r="B932" s="46"/>
      <c r="C932" s="46"/>
      <c r="D932" s="39"/>
      <c r="E932" s="39"/>
      <c r="F932" s="42"/>
      <c r="G932" s="42"/>
      <c r="H932" s="42"/>
      <c r="I932" s="42"/>
      <c r="J932" s="39"/>
      <c r="K932" s="42"/>
      <c r="L932" s="47"/>
      <c r="M932" s="43"/>
      <c r="N932" s="44"/>
      <c r="O932" s="29"/>
      <c r="P932" s="26"/>
      <c r="Q932" s="26"/>
      <c r="R932" s="26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>
      <c r="A933" s="39"/>
      <c r="B933" s="46"/>
      <c r="C933" s="46"/>
      <c r="D933" s="39"/>
      <c r="E933" s="39"/>
      <c r="F933" s="42"/>
      <c r="G933" s="42"/>
      <c r="H933" s="42"/>
      <c r="I933" s="42"/>
      <c r="J933" s="39"/>
      <c r="K933" s="42"/>
      <c r="L933" s="47"/>
      <c r="M933" s="43"/>
      <c r="N933" s="44"/>
      <c r="O933" s="29"/>
      <c r="P933" s="26"/>
      <c r="Q933" s="26"/>
      <c r="R933" s="26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>
      <c r="A934" s="39"/>
      <c r="B934" s="46"/>
      <c r="C934" s="46"/>
      <c r="D934" s="39"/>
      <c r="E934" s="39"/>
      <c r="F934" s="42"/>
      <c r="G934" s="42"/>
      <c r="H934" s="42"/>
      <c r="I934" s="42"/>
      <c r="J934" s="39"/>
      <c r="K934" s="42"/>
      <c r="L934" s="47"/>
      <c r="M934" s="43"/>
      <c r="N934" s="44"/>
      <c r="O934" s="29"/>
      <c r="P934" s="26"/>
      <c r="Q934" s="26"/>
      <c r="R934" s="26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>
      <c r="A935" s="39"/>
      <c r="B935" s="46"/>
      <c r="C935" s="46"/>
      <c r="D935" s="39"/>
      <c r="E935" s="39"/>
      <c r="F935" s="42"/>
      <c r="G935" s="42"/>
      <c r="H935" s="42"/>
      <c r="I935" s="42"/>
      <c r="J935" s="39"/>
      <c r="K935" s="42"/>
      <c r="L935" s="47"/>
      <c r="M935" s="43"/>
      <c r="N935" s="44"/>
      <c r="O935" s="29"/>
      <c r="P935" s="26"/>
      <c r="Q935" s="26"/>
      <c r="R935" s="26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>
      <c r="A936" s="39"/>
      <c r="B936" s="46"/>
      <c r="C936" s="46"/>
      <c r="D936" s="39"/>
      <c r="E936" s="39"/>
      <c r="F936" s="42"/>
      <c r="G936" s="42"/>
      <c r="H936" s="42"/>
      <c r="I936" s="42"/>
      <c r="J936" s="39"/>
      <c r="K936" s="42"/>
      <c r="L936" s="47"/>
      <c r="M936" s="43"/>
      <c r="N936" s="44"/>
      <c r="O936" s="29"/>
      <c r="P936" s="26"/>
      <c r="Q936" s="26"/>
      <c r="R936" s="26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>
      <c r="A937" s="39"/>
      <c r="B937" s="46"/>
      <c r="C937" s="46"/>
      <c r="D937" s="39"/>
      <c r="E937" s="39"/>
      <c r="F937" s="42"/>
      <c r="G937" s="42"/>
      <c r="H937" s="42"/>
      <c r="I937" s="42"/>
      <c r="J937" s="39"/>
      <c r="K937" s="42"/>
      <c r="L937" s="47"/>
      <c r="M937" s="43"/>
      <c r="N937" s="44"/>
      <c r="O937" s="29"/>
      <c r="P937" s="26"/>
      <c r="Q937" s="26"/>
      <c r="R937" s="26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>
      <c r="A938" s="39"/>
      <c r="B938" s="46"/>
      <c r="C938" s="46"/>
      <c r="D938" s="39"/>
      <c r="E938" s="39"/>
      <c r="F938" s="42"/>
      <c r="G938" s="42"/>
      <c r="H938" s="42"/>
      <c r="I938" s="42"/>
      <c r="J938" s="39"/>
      <c r="K938" s="42"/>
      <c r="L938" s="47"/>
      <c r="M938" s="43"/>
      <c r="N938" s="44"/>
      <c r="O938" s="29"/>
      <c r="P938" s="26"/>
      <c r="Q938" s="26"/>
      <c r="R938" s="26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>
      <c r="A939" s="39"/>
      <c r="B939" s="46"/>
      <c r="C939" s="46"/>
      <c r="D939" s="39"/>
      <c r="E939" s="39"/>
      <c r="F939" s="42"/>
      <c r="G939" s="42"/>
      <c r="H939" s="42"/>
      <c r="I939" s="42"/>
      <c r="J939" s="39"/>
      <c r="K939" s="42"/>
      <c r="L939" s="47"/>
      <c r="M939" s="43"/>
      <c r="N939" s="44"/>
      <c r="O939" s="29"/>
      <c r="P939" s="26"/>
      <c r="Q939" s="26"/>
      <c r="R939" s="26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>
      <c r="A940" s="39"/>
      <c r="B940" s="46"/>
      <c r="C940" s="46"/>
      <c r="D940" s="39"/>
      <c r="E940" s="39"/>
      <c r="F940" s="42"/>
      <c r="G940" s="42"/>
      <c r="H940" s="42"/>
      <c r="I940" s="42"/>
      <c r="J940" s="39"/>
      <c r="K940" s="42"/>
      <c r="L940" s="47"/>
      <c r="M940" s="43"/>
      <c r="N940" s="44"/>
      <c r="O940" s="29"/>
      <c r="P940" s="26"/>
      <c r="Q940" s="26"/>
      <c r="R940" s="26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>
      <c r="A941" s="39"/>
      <c r="B941" s="46"/>
      <c r="C941" s="46"/>
      <c r="D941" s="39"/>
      <c r="E941" s="39"/>
      <c r="F941" s="42"/>
      <c r="G941" s="42"/>
      <c r="H941" s="42"/>
      <c r="I941" s="42"/>
      <c r="J941" s="39"/>
      <c r="K941" s="42"/>
      <c r="L941" s="47"/>
      <c r="M941" s="43"/>
      <c r="N941" s="44"/>
      <c r="O941" s="29"/>
      <c r="P941" s="26"/>
      <c r="Q941" s="26"/>
      <c r="R941" s="26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>
      <c r="A942" s="39"/>
      <c r="B942" s="46"/>
      <c r="C942" s="46"/>
      <c r="D942" s="39"/>
      <c r="E942" s="39"/>
      <c r="F942" s="42"/>
      <c r="G942" s="42"/>
      <c r="H942" s="42"/>
      <c r="I942" s="42"/>
      <c r="J942" s="39"/>
      <c r="K942" s="42"/>
      <c r="L942" s="47"/>
      <c r="M942" s="43"/>
      <c r="N942" s="44"/>
      <c r="O942" s="29"/>
      <c r="P942" s="26"/>
      <c r="Q942" s="26"/>
      <c r="R942" s="26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>
      <c r="A943" s="39"/>
      <c r="B943" s="46"/>
      <c r="C943" s="46"/>
      <c r="D943" s="39"/>
      <c r="E943" s="39"/>
      <c r="F943" s="42"/>
      <c r="G943" s="42"/>
      <c r="H943" s="42"/>
      <c r="I943" s="42"/>
      <c r="J943" s="39"/>
      <c r="K943" s="42"/>
      <c r="L943" s="47"/>
      <c r="M943" s="43"/>
      <c r="N943" s="44"/>
      <c r="O943" s="29"/>
      <c r="P943" s="26"/>
      <c r="Q943" s="26"/>
      <c r="R943" s="26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>
      <c r="A944" s="39"/>
      <c r="B944" s="46"/>
      <c r="C944" s="46"/>
      <c r="D944" s="39"/>
      <c r="E944" s="39"/>
      <c r="F944" s="42"/>
      <c r="G944" s="42"/>
      <c r="H944" s="42"/>
      <c r="I944" s="42"/>
      <c r="J944" s="39"/>
      <c r="K944" s="42"/>
      <c r="L944" s="47"/>
      <c r="M944" s="43"/>
      <c r="N944" s="44"/>
      <c r="O944" s="29"/>
      <c r="P944" s="26"/>
      <c r="Q944" s="26"/>
      <c r="R944" s="26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>
      <c r="A945" s="39"/>
      <c r="B945" s="46"/>
      <c r="C945" s="46"/>
      <c r="D945" s="39"/>
      <c r="E945" s="39"/>
      <c r="F945" s="42"/>
      <c r="G945" s="42"/>
      <c r="H945" s="42"/>
      <c r="I945" s="42"/>
      <c r="J945" s="39"/>
      <c r="K945" s="42"/>
      <c r="L945" s="47"/>
      <c r="M945" s="43"/>
      <c r="N945" s="44"/>
      <c r="O945" s="29"/>
      <c r="P945" s="26"/>
      <c r="Q945" s="26"/>
      <c r="R945" s="26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>
      <c r="A946" s="39"/>
      <c r="B946" s="46"/>
      <c r="C946" s="46"/>
      <c r="D946" s="39"/>
      <c r="E946" s="39"/>
      <c r="F946" s="42"/>
      <c r="G946" s="42"/>
      <c r="H946" s="42"/>
      <c r="I946" s="42"/>
      <c r="J946" s="39"/>
      <c r="K946" s="42"/>
      <c r="L946" s="47"/>
      <c r="M946" s="43"/>
      <c r="N946" s="44"/>
      <c r="O946" s="29"/>
      <c r="P946" s="26"/>
      <c r="Q946" s="26"/>
      <c r="R946" s="26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>
      <c r="A947" s="39"/>
      <c r="B947" s="46"/>
      <c r="C947" s="46"/>
      <c r="D947" s="39"/>
      <c r="E947" s="39"/>
      <c r="F947" s="42"/>
      <c r="G947" s="42"/>
      <c r="H947" s="42"/>
      <c r="I947" s="42"/>
      <c r="J947" s="39"/>
      <c r="K947" s="42"/>
      <c r="L947" s="47"/>
      <c r="M947" s="43"/>
      <c r="N947" s="44"/>
      <c r="O947" s="29"/>
      <c r="P947" s="26"/>
      <c r="Q947" s="26"/>
      <c r="R947" s="26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>
      <c r="A948" s="39"/>
      <c r="B948" s="46"/>
      <c r="C948" s="46"/>
      <c r="D948" s="39"/>
      <c r="E948" s="39"/>
      <c r="F948" s="42"/>
      <c r="G948" s="42"/>
      <c r="H948" s="42"/>
      <c r="I948" s="42"/>
      <c r="J948" s="39"/>
      <c r="K948" s="42"/>
      <c r="L948" s="47"/>
      <c r="M948" s="43"/>
      <c r="N948" s="44"/>
      <c r="O948" s="29"/>
      <c r="P948" s="26"/>
      <c r="Q948" s="26"/>
      <c r="R948" s="26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>
      <c r="A949" s="39"/>
      <c r="B949" s="46"/>
      <c r="C949" s="46"/>
      <c r="D949" s="39"/>
      <c r="E949" s="39"/>
      <c r="F949" s="42"/>
      <c r="G949" s="42"/>
      <c r="H949" s="42"/>
      <c r="I949" s="42"/>
      <c r="J949" s="39"/>
      <c r="K949" s="42"/>
      <c r="L949" s="47"/>
      <c r="M949" s="43"/>
      <c r="N949" s="44"/>
      <c r="O949" s="29"/>
      <c r="P949" s="26"/>
      <c r="Q949" s="26"/>
      <c r="R949" s="26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>
      <c r="A950" s="39"/>
      <c r="B950" s="46"/>
      <c r="C950" s="46"/>
      <c r="D950" s="39"/>
      <c r="E950" s="39"/>
      <c r="F950" s="42"/>
      <c r="G950" s="42"/>
      <c r="H950" s="42"/>
      <c r="I950" s="42"/>
      <c r="J950" s="39"/>
      <c r="K950" s="42"/>
      <c r="L950" s="47"/>
      <c r="M950" s="43"/>
      <c r="N950" s="44"/>
      <c r="O950" s="29"/>
      <c r="P950" s="26"/>
      <c r="Q950" s="26"/>
      <c r="R950" s="26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>
      <c r="A951" s="39"/>
      <c r="B951" s="46"/>
      <c r="C951" s="46"/>
      <c r="D951" s="39"/>
      <c r="E951" s="39"/>
      <c r="F951" s="42"/>
      <c r="G951" s="42"/>
      <c r="H951" s="42"/>
      <c r="I951" s="42"/>
      <c r="J951" s="39"/>
      <c r="K951" s="42"/>
      <c r="L951" s="47"/>
      <c r="M951" s="43"/>
      <c r="N951" s="44"/>
      <c r="O951" s="29"/>
      <c r="P951" s="26"/>
      <c r="Q951" s="26"/>
      <c r="R951" s="26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>
      <c r="A952" s="39"/>
      <c r="B952" s="46"/>
      <c r="C952" s="46"/>
      <c r="D952" s="39"/>
      <c r="E952" s="39"/>
      <c r="F952" s="42"/>
      <c r="G952" s="42"/>
      <c r="H952" s="42"/>
      <c r="I952" s="42"/>
      <c r="J952" s="39"/>
      <c r="K952" s="42"/>
      <c r="L952" s="47"/>
      <c r="M952" s="43"/>
      <c r="N952" s="44"/>
      <c r="O952" s="29"/>
      <c r="P952" s="26"/>
      <c r="Q952" s="26"/>
      <c r="R952" s="26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>
      <c r="A953" s="39"/>
      <c r="B953" s="46"/>
      <c r="C953" s="46"/>
      <c r="D953" s="39"/>
      <c r="E953" s="39"/>
      <c r="F953" s="42"/>
      <c r="G953" s="42"/>
      <c r="H953" s="42"/>
      <c r="I953" s="42"/>
      <c r="J953" s="39"/>
      <c r="K953" s="42"/>
      <c r="L953" s="47"/>
      <c r="M953" s="43"/>
      <c r="N953" s="44"/>
      <c r="O953" s="29"/>
      <c r="P953" s="26"/>
      <c r="Q953" s="26"/>
      <c r="R953" s="26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>
      <c r="A954" s="39"/>
      <c r="B954" s="46"/>
      <c r="C954" s="46"/>
      <c r="D954" s="39"/>
      <c r="E954" s="39"/>
      <c r="F954" s="42"/>
      <c r="G954" s="42"/>
      <c r="H954" s="42"/>
      <c r="I954" s="42"/>
      <c r="J954" s="39"/>
      <c r="K954" s="42"/>
      <c r="L954" s="47"/>
      <c r="M954" s="43"/>
      <c r="N954" s="44"/>
      <c r="O954" s="29"/>
      <c r="P954" s="26"/>
      <c r="Q954" s="26"/>
      <c r="R954" s="26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>
      <c r="A955" s="39"/>
      <c r="B955" s="46"/>
      <c r="C955" s="46"/>
      <c r="D955" s="39"/>
      <c r="E955" s="39"/>
      <c r="F955" s="42"/>
      <c r="G955" s="42"/>
      <c r="H955" s="42"/>
      <c r="I955" s="42"/>
      <c r="J955" s="39"/>
      <c r="K955" s="42"/>
      <c r="L955" s="47"/>
      <c r="M955" s="43"/>
      <c r="N955" s="44"/>
      <c r="O955" s="29"/>
      <c r="P955" s="26"/>
      <c r="Q955" s="26"/>
      <c r="R955" s="26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>
      <c r="A956" s="39"/>
      <c r="B956" s="46"/>
      <c r="C956" s="46"/>
      <c r="D956" s="39"/>
      <c r="E956" s="39"/>
      <c r="F956" s="42"/>
      <c r="G956" s="42"/>
      <c r="H956" s="42"/>
      <c r="I956" s="42"/>
      <c r="J956" s="39"/>
      <c r="K956" s="42"/>
      <c r="L956" s="47"/>
      <c r="M956" s="43"/>
      <c r="N956" s="44"/>
      <c r="O956" s="29"/>
      <c r="P956" s="26"/>
      <c r="Q956" s="26"/>
      <c r="R956" s="26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>
      <c r="A957" s="39"/>
      <c r="B957" s="46"/>
      <c r="C957" s="46"/>
      <c r="D957" s="39"/>
      <c r="E957" s="39"/>
      <c r="F957" s="42"/>
      <c r="G957" s="42"/>
      <c r="H957" s="42"/>
      <c r="I957" s="42"/>
      <c r="J957" s="39"/>
      <c r="K957" s="42"/>
      <c r="L957" s="47"/>
      <c r="M957" s="43"/>
      <c r="N957" s="44"/>
      <c r="O957" s="29"/>
      <c r="P957" s="26"/>
      <c r="Q957" s="26"/>
      <c r="R957" s="26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>
      <c r="A958" s="39"/>
      <c r="B958" s="46"/>
      <c r="C958" s="46"/>
      <c r="D958" s="39"/>
      <c r="E958" s="39"/>
      <c r="F958" s="42"/>
      <c r="G958" s="42"/>
      <c r="H958" s="42"/>
      <c r="I958" s="42"/>
      <c r="J958" s="39"/>
      <c r="K958" s="42"/>
      <c r="L958" s="47"/>
      <c r="M958" s="43"/>
      <c r="N958" s="44"/>
      <c r="O958" s="29"/>
      <c r="P958" s="26"/>
      <c r="Q958" s="26"/>
      <c r="R958" s="26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>
      <c r="A959" s="39"/>
      <c r="B959" s="46"/>
      <c r="C959" s="46"/>
      <c r="D959" s="39"/>
      <c r="E959" s="39"/>
      <c r="F959" s="42"/>
      <c r="G959" s="42"/>
      <c r="H959" s="42"/>
      <c r="I959" s="42"/>
      <c r="J959" s="39"/>
      <c r="K959" s="42"/>
      <c r="L959" s="47"/>
      <c r="M959" s="43"/>
      <c r="N959" s="44"/>
      <c r="O959" s="29"/>
      <c r="P959" s="26"/>
      <c r="Q959" s="26"/>
      <c r="R959" s="26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>
      <c r="A960" s="39"/>
      <c r="B960" s="46"/>
      <c r="C960" s="46"/>
      <c r="D960" s="39"/>
      <c r="E960" s="39"/>
      <c r="F960" s="42"/>
      <c r="G960" s="42"/>
      <c r="H960" s="42"/>
      <c r="I960" s="42"/>
      <c r="J960" s="39"/>
      <c r="K960" s="42"/>
      <c r="L960" s="47"/>
      <c r="M960" s="43"/>
      <c r="N960" s="44"/>
      <c r="O960" s="29"/>
      <c r="P960" s="26"/>
      <c r="Q960" s="26"/>
      <c r="R960" s="26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>
      <c r="A961" s="39"/>
      <c r="B961" s="46"/>
      <c r="C961" s="46"/>
      <c r="D961" s="39"/>
      <c r="E961" s="39"/>
      <c r="F961" s="42"/>
      <c r="G961" s="42"/>
      <c r="H961" s="42"/>
      <c r="I961" s="42"/>
      <c r="J961" s="39"/>
      <c r="K961" s="42"/>
      <c r="L961" s="47"/>
      <c r="M961" s="43"/>
      <c r="N961" s="44"/>
      <c r="O961" s="29"/>
      <c r="P961" s="26"/>
      <c r="Q961" s="26"/>
      <c r="R961" s="26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>
      <c r="A962" s="39"/>
      <c r="B962" s="46"/>
      <c r="C962" s="46"/>
      <c r="D962" s="39"/>
      <c r="E962" s="39"/>
      <c r="F962" s="42"/>
      <c r="G962" s="42"/>
      <c r="H962" s="42"/>
      <c r="I962" s="42"/>
      <c r="J962" s="39"/>
      <c r="K962" s="42"/>
      <c r="L962" s="47"/>
      <c r="M962" s="43"/>
      <c r="N962" s="44"/>
      <c r="O962" s="29"/>
      <c r="P962" s="26"/>
      <c r="Q962" s="26"/>
      <c r="R962" s="26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>
      <c r="A963" s="39"/>
      <c r="B963" s="46"/>
      <c r="C963" s="46"/>
      <c r="D963" s="39"/>
      <c r="E963" s="39"/>
      <c r="F963" s="42"/>
      <c r="G963" s="42"/>
      <c r="H963" s="42"/>
      <c r="I963" s="42"/>
      <c r="J963" s="39"/>
      <c r="K963" s="42"/>
      <c r="L963" s="47"/>
      <c r="M963" s="43"/>
      <c r="N963" s="44"/>
      <c r="O963" s="29"/>
      <c r="P963" s="26"/>
      <c r="Q963" s="26"/>
      <c r="R963" s="26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>
      <c r="A964" s="39"/>
      <c r="B964" s="46"/>
      <c r="C964" s="46"/>
      <c r="D964" s="39"/>
      <c r="E964" s="39"/>
      <c r="F964" s="42"/>
      <c r="G964" s="42"/>
      <c r="H964" s="42"/>
      <c r="I964" s="42"/>
      <c r="J964" s="39"/>
      <c r="K964" s="42"/>
      <c r="L964" s="47"/>
      <c r="M964" s="43"/>
      <c r="N964" s="44"/>
      <c r="O964" s="29"/>
      <c r="P964" s="26"/>
      <c r="Q964" s="26"/>
      <c r="R964" s="26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>
      <c r="A965" s="39"/>
      <c r="B965" s="46"/>
      <c r="C965" s="46"/>
      <c r="D965" s="39"/>
      <c r="E965" s="39"/>
      <c r="F965" s="42"/>
      <c r="G965" s="42"/>
      <c r="H965" s="42"/>
      <c r="I965" s="42"/>
      <c r="J965" s="39"/>
      <c r="K965" s="42"/>
      <c r="L965" s="47"/>
      <c r="M965" s="43"/>
      <c r="N965" s="44"/>
      <c r="O965" s="29"/>
      <c r="P965" s="26"/>
      <c r="Q965" s="26"/>
      <c r="R965" s="26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>
      <c r="A966" s="39"/>
      <c r="B966" s="46"/>
      <c r="C966" s="46"/>
      <c r="D966" s="39"/>
      <c r="E966" s="39"/>
      <c r="F966" s="42"/>
      <c r="G966" s="42"/>
      <c r="H966" s="42"/>
      <c r="I966" s="42"/>
      <c r="J966" s="39"/>
      <c r="K966" s="42"/>
      <c r="L966" s="47"/>
      <c r="M966" s="43"/>
      <c r="N966" s="44"/>
      <c r="O966" s="29"/>
      <c r="P966" s="26"/>
      <c r="Q966" s="26"/>
      <c r="R966" s="26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>
      <c r="A967" s="39"/>
      <c r="B967" s="46"/>
      <c r="C967" s="46"/>
      <c r="D967" s="39"/>
      <c r="E967" s="39"/>
      <c r="F967" s="42"/>
      <c r="G967" s="42"/>
      <c r="H967" s="42"/>
      <c r="I967" s="42"/>
      <c r="J967" s="39"/>
      <c r="K967" s="42"/>
      <c r="L967" s="47"/>
      <c r="M967" s="43"/>
      <c r="N967" s="44"/>
      <c r="O967" s="29"/>
      <c r="P967" s="26"/>
      <c r="Q967" s="26"/>
      <c r="R967" s="26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>
      <c r="A968" s="39"/>
      <c r="B968" s="46"/>
      <c r="C968" s="46"/>
      <c r="D968" s="39"/>
      <c r="E968" s="39"/>
      <c r="F968" s="42"/>
      <c r="G968" s="42"/>
      <c r="H968" s="42"/>
      <c r="I968" s="42"/>
      <c r="J968" s="39"/>
      <c r="K968" s="42"/>
      <c r="L968" s="47"/>
      <c r="M968" s="43"/>
      <c r="N968" s="44"/>
      <c r="O968" s="29"/>
      <c r="P968" s="26"/>
      <c r="Q968" s="26"/>
      <c r="R968" s="26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>
      <c r="A969" s="39"/>
      <c r="B969" s="46"/>
      <c r="C969" s="46"/>
      <c r="D969" s="39"/>
      <c r="E969" s="39"/>
      <c r="F969" s="42"/>
      <c r="G969" s="42"/>
      <c r="H969" s="42"/>
      <c r="I969" s="42"/>
      <c r="J969" s="39"/>
      <c r="K969" s="42"/>
      <c r="L969" s="47"/>
      <c r="M969" s="43"/>
      <c r="N969" s="44"/>
      <c r="O969" s="29"/>
      <c r="P969" s="26"/>
      <c r="Q969" s="26"/>
      <c r="R969" s="26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>
      <c r="A970" s="39"/>
      <c r="B970" s="46"/>
      <c r="C970" s="46"/>
      <c r="D970" s="39"/>
      <c r="E970" s="39"/>
      <c r="F970" s="42"/>
      <c r="G970" s="42"/>
      <c r="H970" s="42"/>
      <c r="I970" s="42"/>
      <c r="J970" s="39"/>
      <c r="K970" s="42"/>
      <c r="L970" s="47"/>
      <c r="M970" s="43"/>
      <c r="N970" s="44"/>
      <c r="O970" s="29"/>
      <c r="P970" s="26"/>
      <c r="Q970" s="26"/>
      <c r="R970" s="26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>
      <c r="A971" s="39"/>
      <c r="B971" s="46"/>
      <c r="C971" s="46"/>
      <c r="D971" s="39"/>
      <c r="E971" s="39"/>
      <c r="F971" s="42"/>
      <c r="G971" s="42"/>
      <c r="H971" s="42"/>
      <c r="I971" s="42"/>
      <c r="J971" s="39"/>
      <c r="K971" s="42"/>
      <c r="L971" s="47"/>
      <c r="M971" s="43"/>
      <c r="N971" s="44"/>
      <c r="O971" s="29"/>
      <c r="P971" s="26"/>
      <c r="Q971" s="26"/>
      <c r="R971" s="26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>
      <c r="A972" s="39"/>
      <c r="B972" s="46"/>
      <c r="C972" s="46"/>
      <c r="D972" s="39"/>
      <c r="E972" s="39"/>
      <c r="F972" s="42"/>
      <c r="G972" s="42"/>
      <c r="H972" s="42"/>
      <c r="I972" s="42"/>
      <c r="J972" s="39"/>
      <c r="K972" s="42"/>
      <c r="L972" s="47"/>
      <c r="M972" s="43"/>
      <c r="N972" s="44"/>
      <c r="O972" s="29"/>
      <c r="P972" s="26"/>
      <c r="Q972" s="26"/>
      <c r="R972" s="26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>
      <c r="A973" s="39"/>
      <c r="B973" s="46"/>
      <c r="C973" s="46"/>
      <c r="D973" s="39"/>
      <c r="E973" s="39"/>
      <c r="F973" s="42"/>
      <c r="G973" s="42"/>
      <c r="H973" s="42"/>
      <c r="I973" s="42"/>
      <c r="J973" s="39"/>
      <c r="K973" s="42"/>
      <c r="L973" s="47"/>
      <c r="M973" s="43"/>
      <c r="N973" s="44"/>
      <c r="O973" s="29"/>
      <c r="P973" s="26"/>
      <c r="Q973" s="26"/>
      <c r="R973" s="26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>
      <c r="A974" s="39"/>
      <c r="B974" s="46"/>
      <c r="C974" s="46"/>
      <c r="D974" s="39"/>
      <c r="E974" s="39"/>
      <c r="F974" s="42"/>
      <c r="G974" s="42"/>
      <c r="H974" s="42"/>
      <c r="I974" s="42"/>
      <c r="J974" s="39"/>
      <c r="K974" s="42"/>
      <c r="L974" s="47"/>
      <c r="M974" s="43"/>
      <c r="N974" s="44"/>
      <c r="O974" s="29"/>
      <c r="P974" s="26"/>
      <c r="Q974" s="26"/>
      <c r="R974" s="26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>
      <c r="A975" s="39"/>
      <c r="B975" s="46"/>
      <c r="C975" s="46"/>
      <c r="D975" s="39"/>
      <c r="E975" s="39"/>
      <c r="F975" s="42"/>
      <c r="G975" s="42"/>
      <c r="H975" s="42"/>
      <c r="I975" s="42"/>
      <c r="J975" s="39"/>
      <c r="K975" s="42"/>
      <c r="L975" s="47"/>
      <c r="M975" s="43"/>
      <c r="N975" s="44"/>
      <c r="O975" s="29"/>
      <c r="P975" s="26"/>
      <c r="Q975" s="26"/>
      <c r="R975" s="26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>
      <c r="A976" s="39"/>
      <c r="B976" s="46"/>
      <c r="C976" s="46"/>
      <c r="D976" s="39"/>
      <c r="E976" s="39"/>
      <c r="F976" s="42"/>
      <c r="G976" s="42"/>
      <c r="H976" s="42"/>
      <c r="I976" s="42"/>
      <c r="J976" s="39"/>
      <c r="K976" s="42"/>
      <c r="L976" s="47"/>
      <c r="M976" s="43"/>
      <c r="N976" s="44"/>
      <c r="O976" s="29"/>
      <c r="P976" s="26"/>
      <c r="Q976" s="26"/>
      <c r="R976" s="26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>
      <c r="A977" s="39"/>
      <c r="B977" s="46"/>
      <c r="C977" s="46"/>
      <c r="D977" s="39"/>
      <c r="E977" s="39"/>
      <c r="F977" s="42"/>
      <c r="G977" s="42"/>
      <c r="H977" s="42"/>
      <c r="I977" s="42"/>
      <c r="J977" s="39"/>
      <c r="K977" s="42"/>
      <c r="L977" s="47"/>
      <c r="M977" s="43"/>
      <c r="N977" s="44"/>
      <c r="O977" s="29"/>
      <c r="P977" s="26"/>
      <c r="Q977" s="26"/>
      <c r="R977" s="26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>
      <c r="A978" s="39"/>
      <c r="B978" s="46"/>
      <c r="C978" s="46"/>
      <c r="D978" s="39"/>
      <c r="E978" s="39"/>
      <c r="F978" s="42"/>
      <c r="G978" s="42"/>
      <c r="H978" s="42"/>
      <c r="I978" s="42"/>
      <c r="J978" s="39"/>
      <c r="K978" s="42"/>
      <c r="L978" s="47"/>
      <c r="M978" s="43"/>
      <c r="N978" s="44"/>
      <c r="O978" s="29"/>
      <c r="P978" s="26"/>
      <c r="Q978" s="26"/>
      <c r="R978" s="26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>
      <c r="A979" s="39"/>
      <c r="B979" s="46"/>
      <c r="C979" s="46"/>
      <c r="D979" s="39"/>
      <c r="E979" s="39"/>
      <c r="F979" s="42"/>
      <c r="G979" s="42"/>
      <c r="H979" s="42"/>
      <c r="I979" s="42"/>
      <c r="J979" s="39"/>
      <c r="K979" s="42"/>
      <c r="L979" s="47"/>
      <c r="M979" s="43"/>
      <c r="N979" s="44"/>
      <c r="O979" s="29"/>
      <c r="P979" s="26"/>
      <c r="Q979" s="26"/>
      <c r="R979" s="26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>
      <c r="A980" s="39"/>
      <c r="B980" s="46"/>
      <c r="C980" s="46"/>
      <c r="D980" s="39"/>
      <c r="E980" s="39"/>
      <c r="F980" s="42"/>
      <c r="G980" s="42"/>
      <c r="H980" s="42"/>
      <c r="I980" s="42"/>
      <c r="J980" s="39"/>
      <c r="K980" s="42"/>
      <c r="L980" s="47"/>
      <c r="M980" s="43"/>
      <c r="N980" s="44"/>
      <c r="O980" s="29"/>
      <c r="P980" s="26"/>
      <c r="Q980" s="26"/>
      <c r="R980" s="26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>
      <c r="A981" s="39"/>
      <c r="B981" s="46"/>
      <c r="C981" s="46"/>
      <c r="D981" s="39"/>
      <c r="E981" s="39"/>
      <c r="F981" s="42"/>
      <c r="G981" s="42"/>
      <c r="H981" s="42"/>
      <c r="I981" s="42"/>
      <c r="J981" s="39"/>
      <c r="K981" s="42"/>
      <c r="L981" s="47"/>
      <c r="M981" s="43"/>
      <c r="N981" s="44"/>
      <c r="O981" s="29"/>
      <c r="P981" s="26"/>
      <c r="Q981" s="26"/>
      <c r="R981" s="26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>
      <c r="A982" s="39"/>
      <c r="B982" s="46"/>
      <c r="C982" s="46"/>
      <c r="D982" s="39"/>
      <c r="E982" s="39"/>
      <c r="F982" s="42"/>
      <c r="G982" s="42"/>
      <c r="H982" s="42"/>
      <c r="I982" s="42"/>
      <c r="J982" s="39"/>
      <c r="K982" s="42"/>
      <c r="L982" s="47"/>
      <c r="M982" s="43"/>
      <c r="N982" s="44"/>
      <c r="O982" s="29"/>
      <c r="P982" s="26"/>
      <c r="Q982" s="26"/>
      <c r="R982" s="26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>
      <c r="A983" s="39"/>
      <c r="B983" s="46"/>
      <c r="C983" s="46"/>
      <c r="D983" s="39"/>
      <c r="E983" s="39"/>
      <c r="F983" s="42"/>
      <c r="G983" s="42"/>
      <c r="H983" s="42"/>
      <c r="I983" s="42"/>
      <c r="J983" s="39"/>
      <c r="K983" s="42"/>
      <c r="L983" s="47"/>
      <c r="M983" s="43"/>
      <c r="N983" s="44"/>
      <c r="O983" s="29"/>
      <c r="P983" s="26"/>
      <c r="Q983" s="26"/>
      <c r="R983" s="26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>
      <c r="A984" s="39"/>
      <c r="B984" s="46"/>
      <c r="C984" s="46"/>
      <c r="D984" s="39"/>
      <c r="E984" s="39"/>
      <c r="F984" s="42"/>
      <c r="G984" s="42"/>
      <c r="H984" s="42"/>
      <c r="I984" s="42"/>
      <c r="J984" s="39"/>
      <c r="K984" s="42"/>
      <c r="L984" s="47"/>
      <c r="M984" s="43"/>
      <c r="N984" s="44"/>
      <c r="O984" s="29"/>
      <c r="P984" s="26"/>
      <c r="Q984" s="26"/>
      <c r="R984" s="26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>
      <c r="A985" s="39"/>
      <c r="B985" s="46"/>
      <c r="C985" s="46"/>
      <c r="D985" s="39"/>
      <c r="E985" s="39"/>
      <c r="F985" s="42"/>
      <c r="G985" s="42"/>
      <c r="H985" s="42"/>
      <c r="I985" s="42"/>
      <c r="J985" s="39"/>
      <c r="K985" s="42"/>
      <c r="L985" s="47"/>
      <c r="M985" s="43"/>
      <c r="N985" s="44"/>
      <c r="O985" s="29"/>
      <c r="P985" s="26"/>
      <c r="Q985" s="26"/>
      <c r="R985" s="26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>
      <c r="A986" s="39"/>
      <c r="B986" s="46"/>
      <c r="C986" s="46"/>
      <c r="D986" s="39"/>
      <c r="E986" s="39"/>
      <c r="F986" s="42"/>
      <c r="G986" s="42"/>
      <c r="H986" s="42"/>
      <c r="I986" s="42"/>
      <c r="J986" s="39"/>
      <c r="K986" s="42"/>
      <c r="L986" s="47"/>
      <c r="M986" s="43"/>
      <c r="N986" s="44"/>
      <c r="O986" s="29"/>
      <c r="P986" s="26"/>
      <c r="Q986" s="26"/>
      <c r="R986" s="26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>
      <c r="A987" s="39"/>
      <c r="B987" s="46"/>
      <c r="C987" s="46"/>
      <c r="D987" s="39"/>
      <c r="E987" s="39"/>
      <c r="F987" s="42"/>
      <c r="G987" s="42"/>
      <c r="H987" s="42"/>
      <c r="I987" s="42"/>
      <c r="J987" s="39"/>
      <c r="K987" s="42"/>
      <c r="L987" s="47"/>
      <c r="M987" s="43"/>
      <c r="N987" s="44"/>
      <c r="O987" s="29"/>
      <c r="P987" s="26"/>
      <c r="Q987" s="26"/>
      <c r="R987" s="26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>
      <c r="A988" s="39"/>
      <c r="B988" s="46"/>
      <c r="C988" s="46"/>
      <c r="D988" s="39"/>
      <c r="E988" s="39"/>
      <c r="F988" s="42"/>
      <c r="G988" s="42"/>
      <c r="H988" s="42"/>
      <c r="I988" s="42"/>
      <c r="J988" s="39"/>
      <c r="K988" s="42"/>
      <c r="L988" s="47"/>
      <c r="M988" s="43"/>
      <c r="N988" s="44"/>
      <c r="O988" s="29"/>
      <c r="P988" s="26"/>
      <c r="Q988" s="26"/>
      <c r="R988" s="26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>
      <c r="A989" s="39"/>
      <c r="B989" s="46"/>
      <c r="C989" s="46"/>
      <c r="D989" s="39"/>
      <c r="E989" s="39"/>
      <c r="F989" s="42"/>
      <c r="G989" s="42"/>
      <c r="H989" s="42"/>
      <c r="I989" s="42"/>
      <c r="J989" s="39"/>
      <c r="K989" s="42"/>
      <c r="L989" s="47"/>
      <c r="M989" s="43"/>
      <c r="N989" s="44"/>
      <c r="O989" s="29"/>
      <c r="P989" s="26"/>
      <c r="Q989" s="26"/>
      <c r="R989" s="26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>
      <c r="A990" s="39"/>
      <c r="B990" s="46"/>
      <c r="C990" s="46"/>
      <c r="D990" s="39"/>
      <c r="E990" s="39"/>
      <c r="F990" s="42"/>
      <c r="G990" s="42"/>
      <c r="H990" s="42"/>
      <c r="I990" s="42"/>
      <c r="J990" s="39"/>
      <c r="K990" s="42"/>
      <c r="L990" s="48"/>
      <c r="M990" s="43"/>
      <c r="N990" s="44"/>
      <c r="O990" s="29"/>
      <c r="P990" s="26"/>
      <c r="Q990" s="26"/>
      <c r="R990" s="26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>
      <c r="A991" s="39"/>
      <c r="B991" s="46"/>
      <c r="C991" s="46"/>
      <c r="D991" s="39"/>
      <c r="E991" s="39"/>
      <c r="F991" s="42"/>
      <c r="G991" s="42"/>
      <c r="H991" s="42"/>
      <c r="I991" s="42"/>
      <c r="J991" s="39"/>
      <c r="K991" s="42"/>
      <c r="L991" s="48"/>
      <c r="M991" s="43"/>
      <c r="N991" s="44"/>
      <c r="O991" s="29"/>
      <c r="P991" s="26"/>
      <c r="Q991" s="26"/>
      <c r="R991" s="26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>
      <c r="A992" s="39"/>
      <c r="B992" s="46"/>
      <c r="C992" s="46"/>
      <c r="D992" s="39"/>
      <c r="E992" s="39"/>
      <c r="F992" s="42"/>
      <c r="G992" s="42"/>
      <c r="H992" s="42"/>
      <c r="I992" s="42"/>
      <c r="J992" s="39"/>
      <c r="K992" s="42"/>
      <c r="L992" s="48"/>
      <c r="M992" s="43"/>
      <c r="N992" s="44"/>
      <c r="O992" s="29"/>
      <c r="P992" s="26"/>
      <c r="Q992" s="26"/>
      <c r="R992" s="26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>
      <c r="A993" s="39"/>
      <c r="B993" s="46"/>
      <c r="C993" s="46"/>
      <c r="D993" s="39"/>
      <c r="E993" s="39"/>
      <c r="F993" s="42"/>
      <c r="G993" s="42"/>
      <c r="H993" s="42"/>
      <c r="I993" s="42"/>
      <c r="J993" s="39"/>
      <c r="K993" s="42"/>
      <c r="L993" s="48"/>
      <c r="M993" s="43"/>
      <c r="N993" s="44"/>
      <c r="O993" s="29"/>
      <c r="P993" s="26"/>
      <c r="Q993" s="26"/>
      <c r="R993" s="26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>
      <c r="A994" s="39"/>
      <c r="B994" s="46"/>
      <c r="C994" s="46"/>
      <c r="D994" s="39"/>
      <c r="E994" s="39"/>
      <c r="F994" s="42"/>
      <c r="G994" s="42"/>
      <c r="H994" s="42"/>
      <c r="I994" s="42"/>
      <c r="J994" s="39"/>
      <c r="K994" s="42"/>
      <c r="L994" s="48"/>
      <c r="M994" s="43"/>
      <c r="N994" s="44"/>
      <c r="O994" s="29"/>
      <c r="P994" s="26"/>
      <c r="Q994" s="26"/>
      <c r="R994" s="26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>
      <c r="A995" s="39"/>
      <c r="B995" s="46"/>
      <c r="C995" s="46"/>
      <c r="D995" s="39"/>
      <c r="E995" s="39"/>
      <c r="F995" s="42"/>
      <c r="G995" s="42"/>
      <c r="H995" s="42"/>
      <c r="I995" s="42"/>
      <c r="J995" s="39"/>
      <c r="K995" s="42"/>
      <c r="L995" s="48"/>
      <c r="M995" s="43"/>
      <c r="N995" s="44"/>
      <c r="O995" s="29"/>
      <c r="P995" s="26"/>
      <c r="Q995" s="26"/>
      <c r="R995" s="26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>
      <c r="A996" s="39"/>
      <c r="B996" s="46"/>
      <c r="C996" s="46"/>
      <c r="D996" s="39"/>
      <c r="E996" s="39"/>
      <c r="F996" s="42"/>
      <c r="G996" s="42"/>
      <c r="H996" s="42"/>
      <c r="I996" s="42"/>
      <c r="J996" s="39"/>
      <c r="K996" s="42"/>
      <c r="L996" s="48"/>
      <c r="M996" s="43"/>
      <c r="N996" s="44"/>
      <c r="O996" s="29"/>
      <c r="P996" s="26"/>
      <c r="Q996" s="26"/>
      <c r="R996" s="26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>
      <c r="A997" s="39"/>
      <c r="B997" s="46"/>
      <c r="C997" s="46"/>
      <c r="D997" s="39"/>
      <c r="E997" s="39"/>
      <c r="F997" s="42"/>
      <c r="G997" s="42"/>
      <c r="H997" s="42"/>
      <c r="I997" s="42"/>
      <c r="J997" s="39"/>
      <c r="K997" s="42"/>
      <c r="L997" s="48"/>
      <c r="M997" s="43"/>
      <c r="N997" s="44"/>
      <c r="O997" s="29"/>
      <c r="P997" s="26"/>
      <c r="Q997" s="26"/>
      <c r="R997" s="26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>
      <c r="A998" s="39"/>
      <c r="B998" s="46"/>
      <c r="C998" s="46"/>
      <c r="D998" s="39"/>
      <c r="E998" s="39"/>
      <c r="F998" s="42"/>
      <c r="G998" s="42"/>
      <c r="H998" s="42"/>
      <c r="I998" s="42"/>
      <c r="J998" s="39"/>
      <c r="K998" s="42"/>
      <c r="L998" s="48"/>
      <c r="M998" s="43"/>
      <c r="N998" s="44"/>
      <c r="O998" s="29"/>
      <c r="P998" s="26"/>
      <c r="Q998" s="26"/>
      <c r="R998" s="26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>
      <c r="A999" s="39"/>
      <c r="B999" s="46"/>
      <c r="C999" s="46"/>
      <c r="D999" s="39"/>
      <c r="E999" s="39"/>
      <c r="F999" s="42"/>
      <c r="G999" s="42"/>
      <c r="H999" s="42"/>
      <c r="I999" s="42"/>
      <c r="J999" s="39"/>
      <c r="K999" s="42"/>
      <c r="L999" s="48"/>
      <c r="M999" s="43"/>
      <c r="N999" s="44"/>
      <c r="O999" s="29"/>
      <c r="P999" s="26"/>
      <c r="Q999" s="26"/>
      <c r="R999" s="26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>
      <c r="A1000" s="39"/>
      <c r="B1000" s="46"/>
      <c r="C1000" s="46"/>
      <c r="D1000" s="39"/>
      <c r="E1000" s="39"/>
      <c r="F1000" s="42"/>
      <c r="G1000" s="42"/>
      <c r="H1000" s="42"/>
      <c r="I1000" s="42"/>
      <c r="J1000" s="39"/>
      <c r="K1000" s="42"/>
      <c r="L1000" s="48"/>
      <c r="M1000" s="43"/>
      <c r="N1000" s="44"/>
      <c r="O1000" s="29"/>
      <c r="P1000" s="26"/>
      <c r="Q1000" s="26"/>
      <c r="R1000" s="26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  <row r="1001">
      <c r="A1001" s="39"/>
      <c r="B1001" s="46"/>
      <c r="C1001" s="46"/>
      <c r="D1001" s="39"/>
      <c r="E1001" s="39"/>
      <c r="F1001" s="42"/>
      <c r="G1001" s="42"/>
      <c r="H1001" s="42"/>
      <c r="I1001" s="42"/>
      <c r="J1001" s="39"/>
      <c r="K1001" s="42"/>
      <c r="L1001" s="48"/>
      <c r="M1001" s="43"/>
      <c r="N1001" s="44"/>
      <c r="O1001" s="29"/>
      <c r="P1001" s="26"/>
      <c r="Q1001" s="26"/>
      <c r="R1001" s="26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</row>
    <row r="1002">
      <c r="A1002" s="39"/>
      <c r="B1002" s="46"/>
      <c r="C1002" s="46"/>
      <c r="D1002" s="39"/>
      <c r="E1002" s="39"/>
      <c r="F1002" s="42"/>
      <c r="G1002" s="42"/>
      <c r="H1002" s="42"/>
      <c r="I1002" s="42"/>
      <c r="J1002" s="39"/>
      <c r="K1002" s="42"/>
      <c r="L1002" s="48"/>
      <c r="M1002" s="43"/>
      <c r="N1002" s="44"/>
      <c r="O1002" s="29"/>
      <c r="P1002" s="26"/>
      <c r="Q1002" s="26"/>
      <c r="R1002" s="26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</row>
    <row r="1003">
      <c r="A1003" s="39"/>
      <c r="B1003" s="46"/>
      <c r="C1003" s="46"/>
      <c r="D1003" s="39"/>
      <c r="E1003" s="39"/>
      <c r="F1003" s="42"/>
      <c r="G1003" s="42"/>
      <c r="H1003" s="42"/>
      <c r="I1003" s="42"/>
      <c r="J1003" s="39"/>
      <c r="K1003" s="42"/>
      <c r="L1003" s="48"/>
      <c r="M1003" s="43"/>
      <c r="N1003" s="44"/>
      <c r="O1003" s="29"/>
      <c r="P1003" s="26"/>
      <c r="Q1003" s="26"/>
      <c r="R1003" s="26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</row>
    <row r="1004">
      <c r="A1004" s="39"/>
      <c r="B1004" s="46"/>
      <c r="C1004" s="46"/>
      <c r="D1004" s="39"/>
      <c r="E1004" s="39"/>
      <c r="F1004" s="42"/>
      <c r="G1004" s="42"/>
      <c r="H1004" s="42"/>
      <c r="I1004" s="42"/>
      <c r="J1004" s="39"/>
      <c r="K1004" s="42"/>
      <c r="L1004" s="48"/>
      <c r="M1004" s="43"/>
      <c r="N1004" s="44"/>
      <c r="O1004" s="29"/>
      <c r="P1004" s="26"/>
      <c r="Q1004" s="26"/>
      <c r="R1004" s="26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</row>
    <row r="1005">
      <c r="A1005" s="39"/>
      <c r="B1005" s="46"/>
      <c r="C1005" s="46"/>
      <c r="D1005" s="39"/>
      <c r="E1005" s="39"/>
      <c r="F1005" s="42"/>
      <c r="G1005" s="42"/>
      <c r="H1005" s="42"/>
      <c r="I1005" s="42"/>
      <c r="J1005" s="39"/>
      <c r="K1005" s="42"/>
      <c r="L1005" s="48"/>
      <c r="M1005" s="43"/>
      <c r="N1005" s="44"/>
      <c r="O1005" s="29"/>
      <c r="P1005" s="26"/>
      <c r="Q1005" s="26"/>
      <c r="R1005" s="26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</row>
    <row r="1006">
      <c r="A1006" s="39"/>
      <c r="B1006" s="46"/>
      <c r="C1006" s="46"/>
      <c r="D1006" s="39"/>
      <c r="E1006" s="39"/>
      <c r="F1006" s="42"/>
      <c r="G1006" s="42"/>
      <c r="H1006" s="42"/>
      <c r="I1006" s="42"/>
      <c r="J1006" s="39"/>
      <c r="K1006" s="42"/>
      <c r="L1006" s="48"/>
      <c r="M1006" s="43"/>
      <c r="N1006" s="44"/>
      <c r="O1006" s="29"/>
      <c r="P1006" s="26"/>
      <c r="Q1006" s="26"/>
      <c r="R1006" s="26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</row>
    <row r="1007">
      <c r="A1007" s="39"/>
      <c r="B1007" s="46"/>
      <c r="C1007" s="46"/>
      <c r="D1007" s="39"/>
      <c r="E1007" s="39"/>
      <c r="F1007" s="42"/>
      <c r="G1007" s="42"/>
      <c r="H1007" s="42"/>
      <c r="I1007" s="42"/>
      <c r="J1007" s="39"/>
      <c r="K1007" s="42"/>
      <c r="L1007" s="48"/>
      <c r="M1007" s="43"/>
      <c r="N1007" s="44"/>
      <c r="O1007" s="29"/>
      <c r="P1007" s="26"/>
      <c r="Q1007" s="26"/>
      <c r="R1007" s="26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</row>
    <row r="1008">
      <c r="A1008" s="39"/>
      <c r="B1008" s="46"/>
      <c r="C1008" s="46"/>
      <c r="D1008" s="39"/>
      <c r="E1008" s="39"/>
      <c r="F1008" s="42"/>
      <c r="G1008" s="42"/>
      <c r="H1008" s="42"/>
      <c r="I1008" s="42"/>
      <c r="J1008" s="39"/>
      <c r="K1008" s="42"/>
      <c r="L1008" s="48"/>
      <c r="M1008" s="43"/>
      <c r="N1008" s="44"/>
      <c r="O1008" s="29"/>
      <c r="P1008" s="26"/>
      <c r="Q1008" s="26"/>
      <c r="R1008" s="26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</row>
    <row r="1009">
      <c r="A1009" s="39"/>
      <c r="B1009" s="46"/>
      <c r="C1009" s="46"/>
      <c r="D1009" s="39"/>
      <c r="E1009" s="39"/>
      <c r="F1009" s="42"/>
      <c r="G1009" s="42"/>
      <c r="H1009" s="42"/>
      <c r="I1009" s="42"/>
      <c r="J1009" s="39"/>
      <c r="K1009" s="42"/>
      <c r="L1009" s="48"/>
      <c r="M1009" s="43"/>
      <c r="N1009" s="44"/>
      <c r="O1009" s="29"/>
      <c r="P1009" s="26"/>
      <c r="Q1009" s="26"/>
      <c r="R1009" s="26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</row>
    <row r="1010">
      <c r="A1010" s="39"/>
      <c r="B1010" s="46"/>
      <c r="C1010" s="46"/>
      <c r="D1010" s="39"/>
      <c r="E1010" s="39"/>
      <c r="F1010" s="42"/>
      <c r="G1010" s="42"/>
      <c r="H1010" s="42"/>
      <c r="I1010" s="42"/>
      <c r="J1010" s="39"/>
      <c r="K1010" s="42"/>
      <c r="L1010" s="48"/>
      <c r="M1010" s="43"/>
      <c r="N1010" s="44"/>
      <c r="O1010" s="29"/>
      <c r="P1010" s="26"/>
      <c r="Q1010" s="26"/>
      <c r="R1010" s="26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</row>
    <row r="1011">
      <c r="A1011" s="39"/>
      <c r="B1011" s="46"/>
      <c r="C1011" s="46"/>
      <c r="D1011" s="39"/>
      <c r="E1011" s="39"/>
      <c r="F1011" s="42"/>
      <c r="G1011" s="42"/>
      <c r="H1011" s="42"/>
      <c r="I1011" s="42"/>
      <c r="J1011" s="39"/>
      <c r="K1011" s="42"/>
      <c r="L1011" s="48"/>
      <c r="M1011" s="43"/>
      <c r="N1011" s="44"/>
      <c r="O1011" s="29"/>
      <c r="P1011" s="26"/>
      <c r="Q1011" s="26"/>
      <c r="R1011" s="26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</row>
    <row r="1012">
      <c r="A1012" s="39"/>
      <c r="B1012" s="46"/>
      <c r="C1012" s="46"/>
      <c r="D1012" s="39"/>
      <c r="E1012" s="39"/>
      <c r="F1012" s="42"/>
      <c r="G1012" s="42"/>
      <c r="H1012" s="42"/>
      <c r="I1012" s="42"/>
      <c r="J1012" s="39"/>
      <c r="K1012" s="42"/>
      <c r="L1012" s="48"/>
      <c r="M1012" s="43"/>
      <c r="N1012" s="44"/>
      <c r="O1012" s="29"/>
      <c r="P1012" s="26"/>
      <c r="Q1012" s="26"/>
      <c r="R1012" s="26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</row>
    <row r="1013">
      <c r="A1013" s="39"/>
      <c r="B1013" s="46"/>
      <c r="C1013" s="46"/>
      <c r="D1013" s="39"/>
      <c r="E1013" s="39"/>
      <c r="F1013" s="42"/>
      <c r="G1013" s="42"/>
      <c r="H1013" s="42"/>
      <c r="I1013" s="42"/>
      <c r="J1013" s="39"/>
      <c r="K1013" s="42"/>
      <c r="L1013" s="48"/>
      <c r="M1013" s="43"/>
      <c r="N1013" s="44"/>
      <c r="O1013" s="29"/>
      <c r="P1013" s="26"/>
      <c r="Q1013" s="26"/>
      <c r="R1013" s="26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</row>
    <row r="1014">
      <c r="A1014" s="39"/>
      <c r="B1014" s="46"/>
      <c r="C1014" s="46"/>
      <c r="D1014" s="39"/>
      <c r="E1014" s="39"/>
      <c r="F1014" s="42"/>
      <c r="G1014" s="42"/>
      <c r="H1014" s="42"/>
      <c r="I1014" s="42"/>
      <c r="J1014" s="39"/>
      <c r="K1014" s="42"/>
      <c r="L1014" s="48"/>
      <c r="M1014" s="43"/>
      <c r="N1014" s="44"/>
      <c r="O1014" s="29"/>
      <c r="P1014" s="26"/>
      <c r="Q1014" s="26"/>
      <c r="R1014" s="26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</row>
    <row r="1015">
      <c r="A1015" s="39"/>
      <c r="B1015" s="46"/>
      <c r="C1015" s="46"/>
      <c r="D1015" s="39"/>
      <c r="E1015" s="39"/>
      <c r="F1015" s="42"/>
      <c r="G1015" s="42"/>
      <c r="H1015" s="42"/>
      <c r="I1015" s="42"/>
      <c r="J1015" s="39"/>
      <c r="K1015" s="42"/>
      <c r="L1015" s="48"/>
      <c r="M1015" s="43"/>
      <c r="N1015" s="44"/>
      <c r="O1015" s="29"/>
      <c r="P1015" s="26"/>
      <c r="Q1015" s="26"/>
      <c r="R1015" s="26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</row>
    <row r="1016">
      <c r="A1016" s="39"/>
      <c r="B1016" s="46"/>
      <c r="C1016" s="46"/>
      <c r="D1016" s="39"/>
      <c r="E1016" s="39"/>
      <c r="F1016" s="42"/>
      <c r="G1016" s="42"/>
      <c r="H1016" s="42"/>
      <c r="I1016" s="42"/>
      <c r="J1016" s="39"/>
      <c r="K1016" s="42"/>
      <c r="L1016" s="48"/>
      <c r="M1016" s="43"/>
      <c r="N1016" s="44"/>
      <c r="O1016" s="29"/>
      <c r="P1016" s="26"/>
      <c r="Q1016" s="26"/>
      <c r="R1016" s="26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</row>
    <row r="1017">
      <c r="A1017" s="39"/>
      <c r="B1017" s="46"/>
      <c r="C1017" s="46"/>
      <c r="D1017" s="39"/>
      <c r="E1017" s="39"/>
      <c r="F1017" s="42"/>
      <c r="G1017" s="42"/>
      <c r="H1017" s="42"/>
      <c r="I1017" s="42"/>
      <c r="J1017" s="39"/>
      <c r="K1017" s="42"/>
      <c r="L1017" s="48"/>
      <c r="M1017" s="43"/>
      <c r="N1017" s="44"/>
      <c r="O1017" s="29"/>
      <c r="P1017" s="26"/>
      <c r="Q1017" s="26"/>
      <c r="R1017" s="26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</row>
    <row r="1018">
      <c r="A1018" s="39"/>
      <c r="B1018" s="46"/>
      <c r="C1018" s="46"/>
      <c r="D1018" s="39"/>
      <c r="E1018" s="39"/>
      <c r="F1018" s="42"/>
      <c r="G1018" s="42"/>
      <c r="H1018" s="42"/>
      <c r="I1018" s="42"/>
      <c r="J1018" s="39"/>
      <c r="K1018" s="42"/>
      <c r="L1018" s="48"/>
      <c r="M1018" s="43"/>
      <c r="N1018" s="44"/>
      <c r="O1018" s="29"/>
      <c r="P1018" s="26"/>
      <c r="Q1018" s="26"/>
      <c r="R1018" s="26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</row>
    <row r="1019">
      <c r="A1019" s="39"/>
      <c r="B1019" s="46"/>
      <c r="C1019" s="46"/>
      <c r="D1019" s="39"/>
      <c r="E1019" s="39"/>
      <c r="F1019" s="42"/>
      <c r="G1019" s="42"/>
      <c r="H1019" s="42"/>
      <c r="I1019" s="42"/>
      <c r="J1019" s="39"/>
      <c r="K1019" s="42"/>
      <c r="L1019" s="48"/>
      <c r="M1019" s="43"/>
      <c r="N1019" s="44"/>
      <c r="O1019" s="29"/>
      <c r="P1019" s="26"/>
      <c r="Q1019" s="26"/>
      <c r="R1019" s="26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</row>
    <row r="1020">
      <c r="A1020" s="39"/>
      <c r="B1020" s="46"/>
      <c r="C1020" s="46"/>
      <c r="D1020" s="39"/>
      <c r="E1020" s="39"/>
      <c r="F1020" s="42"/>
      <c r="G1020" s="42"/>
      <c r="H1020" s="42"/>
      <c r="I1020" s="42"/>
      <c r="J1020" s="39"/>
      <c r="K1020" s="42"/>
      <c r="L1020" s="48"/>
      <c r="M1020" s="43"/>
      <c r="N1020" s="44"/>
      <c r="O1020" s="29"/>
      <c r="P1020" s="26"/>
      <c r="Q1020" s="26"/>
      <c r="R1020" s="26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</row>
    <row r="1021">
      <c r="A1021" s="39"/>
      <c r="B1021" s="46"/>
      <c r="C1021" s="46"/>
      <c r="D1021" s="39"/>
      <c r="E1021" s="39"/>
      <c r="F1021" s="42"/>
      <c r="G1021" s="42"/>
      <c r="H1021" s="42"/>
      <c r="I1021" s="42"/>
      <c r="J1021" s="39"/>
      <c r="K1021" s="42"/>
      <c r="L1021" s="48"/>
      <c r="M1021" s="43"/>
      <c r="N1021" s="44"/>
      <c r="O1021" s="29"/>
      <c r="P1021" s="26"/>
      <c r="Q1021" s="26"/>
      <c r="R1021" s="26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</row>
    <row r="1022">
      <c r="A1022" s="39"/>
      <c r="B1022" s="46"/>
      <c r="C1022" s="46"/>
      <c r="D1022" s="39"/>
      <c r="E1022" s="39"/>
      <c r="F1022" s="42"/>
      <c r="G1022" s="42"/>
      <c r="H1022" s="42"/>
      <c r="I1022" s="42"/>
      <c r="J1022" s="39"/>
      <c r="K1022" s="42"/>
      <c r="L1022" s="48"/>
      <c r="M1022" s="43"/>
      <c r="N1022" s="44"/>
      <c r="O1022" s="29"/>
      <c r="P1022" s="26"/>
      <c r="Q1022" s="26"/>
      <c r="R1022" s="26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</row>
    <row r="1023">
      <c r="A1023" s="39"/>
      <c r="B1023" s="46"/>
      <c r="C1023" s="46"/>
      <c r="D1023" s="39"/>
      <c r="E1023" s="39"/>
      <c r="F1023" s="42"/>
      <c r="G1023" s="42"/>
      <c r="H1023" s="42"/>
      <c r="I1023" s="42"/>
      <c r="J1023" s="39"/>
      <c r="K1023" s="42"/>
      <c r="L1023" s="48"/>
      <c r="M1023" s="43"/>
      <c r="N1023" s="44"/>
      <c r="O1023" s="29"/>
      <c r="P1023" s="26"/>
      <c r="Q1023" s="26"/>
      <c r="R1023" s="26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</row>
    <row r="1024">
      <c r="A1024" s="39"/>
      <c r="B1024" s="46"/>
      <c r="C1024" s="46"/>
      <c r="D1024" s="39"/>
      <c r="E1024" s="39"/>
      <c r="F1024" s="42"/>
      <c r="G1024" s="42"/>
      <c r="H1024" s="42"/>
      <c r="I1024" s="42"/>
      <c r="J1024" s="39"/>
      <c r="K1024" s="42"/>
      <c r="L1024" s="48"/>
      <c r="M1024" s="43"/>
      <c r="N1024" s="44"/>
      <c r="O1024" s="29"/>
      <c r="P1024" s="26"/>
      <c r="Q1024" s="26"/>
      <c r="R1024" s="26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</row>
  </sheetData>
  <mergeCells count="1">
    <mergeCell ref="D2:O2"/>
  </mergeCells>
  <dataValidations>
    <dataValidation type="list" allowBlank="1" showErrorMessage="1" sqref="P4:R17 Q18:R19 P20:R104 Q105:R105 P106:R106">
      <formula1>"SHOPIFY ,FLIPKART ,AMAZON "</formula1>
    </dataValidation>
    <dataValidation type="list" allowBlank="1" showErrorMessage="1" sqref="P18">
      <formula1>"SHOPIFY ,Option 2"</formula1>
    </dataValidation>
    <dataValidation type="list" allowBlank="1" showErrorMessage="1" sqref="P19">
      <formula1>#REF!</formula1>
    </dataValidation>
    <dataValidation type="list" allowBlank="1" showErrorMessage="1" sqref="P105">
      <formula1>#REF!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13"/>
    <col customWidth="1" min="3" max="3" width="12.25"/>
    <col customWidth="1" min="4" max="4" width="12.38"/>
    <col customWidth="1" min="5" max="5" width="9.75"/>
    <col customWidth="1" min="6" max="6" width="13.63"/>
    <col customWidth="1" min="7" max="7" width="16.25"/>
    <col customWidth="1" min="8" max="8" width="9.88"/>
    <col customWidth="1" min="9" max="9" width="11.0"/>
    <col customWidth="1" min="10" max="10" width="10.88"/>
    <col customWidth="1" min="11" max="12" width="10.25"/>
    <col customWidth="1" min="13" max="13" width="10.63"/>
    <col customWidth="1" min="14" max="14" width="11.13"/>
    <col customWidth="1" min="15" max="15" width="11.63"/>
    <col customWidth="1" min="16" max="16" width="10.5"/>
    <col customWidth="1" min="17" max="17" width="10.75"/>
    <col customWidth="1" min="18" max="19" width="9.88"/>
    <col customWidth="1" min="20" max="20" width="9.75"/>
    <col customWidth="1" min="21" max="21" width="9.13"/>
    <col customWidth="1" min="22" max="22" width="10.5"/>
    <col customWidth="1" min="23" max="23" width="9.5"/>
    <col customWidth="1" min="24" max="24" width="8.25"/>
    <col customWidth="1" min="25" max="25" width="13.5"/>
    <col customWidth="1" min="26" max="26" width="13.88"/>
    <col customWidth="1" min="27" max="27" width="9.5"/>
    <col customWidth="1" min="28" max="35" width="13.88"/>
  </cols>
  <sheetData>
    <row r="1" ht="33.0" customHeight="1">
      <c r="A1" s="49" t="s">
        <v>355</v>
      </c>
      <c r="B1" s="49" t="s">
        <v>356</v>
      </c>
      <c r="C1" s="49" t="s">
        <v>357</v>
      </c>
      <c r="D1" s="49" t="s">
        <v>358</v>
      </c>
      <c r="E1" s="49" t="s">
        <v>359</v>
      </c>
      <c r="F1" s="49" t="s">
        <v>360</v>
      </c>
      <c r="G1" s="49" t="s">
        <v>361</v>
      </c>
      <c r="H1" s="49" t="s">
        <v>362</v>
      </c>
      <c r="I1" s="49" t="s">
        <v>363</v>
      </c>
      <c r="J1" s="49" t="s">
        <v>364</v>
      </c>
      <c r="K1" s="49" t="s">
        <v>365</v>
      </c>
      <c r="L1" s="49" t="s">
        <v>366</v>
      </c>
      <c r="M1" s="49" t="s">
        <v>367</v>
      </c>
      <c r="N1" s="49" t="s">
        <v>368</v>
      </c>
      <c r="O1" s="49" t="s">
        <v>369</v>
      </c>
      <c r="P1" s="49" t="s">
        <v>370</v>
      </c>
      <c r="Q1" s="49" t="s">
        <v>371</v>
      </c>
      <c r="R1" s="49" t="s">
        <v>372</v>
      </c>
      <c r="S1" s="49" t="s">
        <v>373</v>
      </c>
      <c r="T1" s="49" t="s">
        <v>374</v>
      </c>
      <c r="U1" s="49" t="s">
        <v>375</v>
      </c>
      <c r="V1" s="49" t="s">
        <v>376</v>
      </c>
      <c r="W1" s="49" t="s">
        <v>377</v>
      </c>
      <c r="X1" s="49" t="s">
        <v>378</v>
      </c>
      <c r="Y1" s="49" t="s">
        <v>379</v>
      </c>
      <c r="Z1" s="49" t="s">
        <v>380</v>
      </c>
      <c r="AA1" s="49" t="s">
        <v>381</v>
      </c>
      <c r="AB1" s="50"/>
      <c r="AC1" s="50"/>
      <c r="AD1" s="50"/>
      <c r="AE1" s="50"/>
      <c r="AF1" s="50"/>
      <c r="AG1" s="50"/>
      <c r="AH1" s="50"/>
      <c r="AI1" s="50"/>
    </row>
    <row r="2">
      <c r="C2" s="51"/>
      <c r="D2" s="51"/>
    </row>
    <row r="3">
      <c r="C3" s="51"/>
      <c r="D3" s="51"/>
    </row>
    <row r="4">
      <c r="C4" s="51"/>
    </row>
    <row r="5">
      <c r="C5" s="51"/>
    </row>
    <row r="6">
      <c r="C6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6.75" customHeight="1">
      <c r="A1" s="52" t="s">
        <v>382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8.5"/>
    <col customWidth="1" min="4" max="4" width="16.5"/>
    <col customWidth="1" min="5" max="5" width="15.88"/>
    <col customWidth="1" min="6" max="6" width="14.38"/>
    <col customWidth="1" min="7" max="7" width="16.88"/>
    <col customWidth="1" min="8" max="8" width="6.63"/>
    <col customWidth="1" min="9" max="9" width="9.13"/>
    <col customWidth="1" min="10" max="10" width="9.5"/>
    <col customWidth="1" min="12" max="12" width="20.38"/>
    <col customWidth="1" min="13" max="13" width="28.13"/>
  </cols>
  <sheetData>
    <row r="1">
      <c r="A1" s="50" t="s">
        <v>383</v>
      </c>
      <c r="B1" s="54" t="s">
        <v>384</v>
      </c>
      <c r="C1" s="50" t="s">
        <v>385</v>
      </c>
      <c r="D1" s="50" t="s">
        <v>386</v>
      </c>
      <c r="E1" s="50" t="s">
        <v>387</v>
      </c>
      <c r="F1" s="50" t="s">
        <v>362</v>
      </c>
      <c r="G1" s="50" t="s">
        <v>388</v>
      </c>
      <c r="H1" s="50" t="s">
        <v>389</v>
      </c>
      <c r="I1" s="50" t="s">
        <v>390</v>
      </c>
      <c r="J1" s="50" t="s">
        <v>378</v>
      </c>
      <c r="K1" s="50" t="s">
        <v>381</v>
      </c>
      <c r="L1" s="55" t="s">
        <v>391</v>
      </c>
      <c r="M1" s="50" t="s">
        <v>392</v>
      </c>
    </row>
    <row r="2">
      <c r="A2" s="56" t="s">
        <v>393</v>
      </c>
      <c r="B2" s="57">
        <v>46146.0</v>
      </c>
      <c r="C2" s="56" t="s">
        <v>394</v>
      </c>
      <c r="D2" s="56" t="s">
        <v>395</v>
      </c>
      <c r="E2" s="56" t="s">
        <v>396</v>
      </c>
      <c r="F2" s="56" t="s">
        <v>285</v>
      </c>
      <c r="G2" s="56" t="s">
        <v>286</v>
      </c>
      <c r="H2" s="56" t="s">
        <v>7</v>
      </c>
      <c r="I2" s="58">
        <v>1.0</v>
      </c>
      <c r="J2" s="56" t="s">
        <v>397</v>
      </c>
      <c r="L2" s="59">
        <v>46146.618993055556</v>
      </c>
      <c r="M2" s="56" t="s">
        <v>398</v>
      </c>
    </row>
    <row r="3">
      <c r="A3" s="56" t="s">
        <v>399</v>
      </c>
      <c r="B3" s="57">
        <v>46146.0</v>
      </c>
      <c r="C3" s="56" t="s">
        <v>394</v>
      </c>
      <c r="D3" s="56" t="s">
        <v>400</v>
      </c>
      <c r="E3" s="56" t="s">
        <v>396</v>
      </c>
      <c r="F3" s="56" t="s">
        <v>207</v>
      </c>
      <c r="G3" s="56" t="s">
        <v>208</v>
      </c>
      <c r="H3" s="56" t="s">
        <v>8</v>
      </c>
      <c r="I3" s="58">
        <v>1.0</v>
      </c>
      <c r="J3" s="56" t="s">
        <v>397</v>
      </c>
      <c r="L3" s="59">
        <v>46146.62289351852</v>
      </c>
      <c r="M3" s="56" t="s">
        <v>398</v>
      </c>
    </row>
    <row r="4">
      <c r="A4" s="56" t="s">
        <v>401</v>
      </c>
      <c r="B4" s="57">
        <v>46146.0</v>
      </c>
      <c r="C4" s="56" t="s">
        <v>394</v>
      </c>
      <c r="D4" s="56" t="s">
        <v>402</v>
      </c>
      <c r="E4" s="56" t="s">
        <v>396</v>
      </c>
      <c r="F4" s="56" t="s">
        <v>273</v>
      </c>
      <c r="G4" s="56" t="s">
        <v>403</v>
      </c>
      <c r="H4" s="56" t="s">
        <v>8</v>
      </c>
      <c r="I4" s="58">
        <v>1.0</v>
      </c>
      <c r="J4" s="56" t="s">
        <v>397</v>
      </c>
      <c r="L4" s="59">
        <v>46146.625231481485</v>
      </c>
      <c r="M4" s="56" t="s">
        <v>398</v>
      </c>
    </row>
    <row r="5">
      <c r="A5" s="56" t="s">
        <v>404</v>
      </c>
      <c r="B5" s="57">
        <v>46092.0</v>
      </c>
      <c r="C5" s="56" t="s">
        <v>394</v>
      </c>
      <c r="D5" s="56" t="s">
        <v>405</v>
      </c>
      <c r="E5" s="56" t="s">
        <v>396</v>
      </c>
      <c r="F5" s="56" t="s">
        <v>141</v>
      </c>
      <c r="G5" s="56" t="s">
        <v>142</v>
      </c>
      <c r="H5" s="56" t="s">
        <v>8</v>
      </c>
      <c r="I5" s="58">
        <v>1.0</v>
      </c>
      <c r="J5" s="56" t="s">
        <v>397</v>
      </c>
      <c r="L5" s="59">
        <v>46146.64642361111</v>
      </c>
      <c r="M5" s="56" t="s">
        <v>398</v>
      </c>
    </row>
    <row r="6">
      <c r="A6" s="56" t="s">
        <v>404</v>
      </c>
      <c r="B6" s="57">
        <v>46092.0</v>
      </c>
      <c r="C6" s="56" t="s">
        <v>394</v>
      </c>
      <c r="D6" s="56" t="s">
        <v>405</v>
      </c>
      <c r="E6" s="56" t="s">
        <v>396</v>
      </c>
      <c r="F6" s="56" t="s">
        <v>55</v>
      </c>
      <c r="G6" s="56" t="s">
        <v>56</v>
      </c>
      <c r="H6" s="56" t="s">
        <v>8</v>
      </c>
      <c r="I6" s="58">
        <v>1.0</v>
      </c>
      <c r="J6" s="56" t="s">
        <v>397</v>
      </c>
      <c r="L6" s="59">
        <v>46146.64642361111</v>
      </c>
      <c r="M6" s="56" t="s">
        <v>398</v>
      </c>
    </row>
    <row r="7">
      <c r="A7" s="56" t="s">
        <v>406</v>
      </c>
      <c r="B7" s="57">
        <v>46097.0</v>
      </c>
      <c r="C7" s="56" t="s">
        <v>394</v>
      </c>
      <c r="D7" s="56" t="s">
        <v>407</v>
      </c>
      <c r="E7" s="56" t="s">
        <v>396</v>
      </c>
      <c r="F7" s="56" t="s">
        <v>138</v>
      </c>
      <c r="G7" s="56" t="s">
        <v>139</v>
      </c>
      <c r="H7" s="56" t="s">
        <v>10</v>
      </c>
      <c r="I7" s="58">
        <v>1.0</v>
      </c>
      <c r="J7" s="56" t="s">
        <v>397</v>
      </c>
      <c r="L7" s="59">
        <v>46146.65215277778</v>
      </c>
      <c r="M7" s="56" t="s">
        <v>398</v>
      </c>
    </row>
    <row r="8">
      <c r="A8" s="56" t="s">
        <v>406</v>
      </c>
      <c r="B8" s="57">
        <v>46097.0</v>
      </c>
      <c r="C8" s="56" t="s">
        <v>394</v>
      </c>
      <c r="D8" s="56" t="s">
        <v>407</v>
      </c>
      <c r="E8" s="56" t="s">
        <v>396</v>
      </c>
      <c r="F8" s="56" t="s">
        <v>180</v>
      </c>
      <c r="G8" s="56" t="s">
        <v>181</v>
      </c>
      <c r="H8" s="56" t="s">
        <v>10</v>
      </c>
      <c r="I8" s="58">
        <v>1.0</v>
      </c>
      <c r="J8" s="56" t="s">
        <v>397</v>
      </c>
      <c r="L8" s="59">
        <v>46146.65215277778</v>
      </c>
      <c r="M8" s="56" t="s">
        <v>398</v>
      </c>
    </row>
    <row r="9">
      <c r="A9" s="56" t="s">
        <v>406</v>
      </c>
      <c r="B9" s="57">
        <v>46097.0</v>
      </c>
      <c r="C9" s="56" t="s">
        <v>394</v>
      </c>
      <c r="D9" s="56" t="s">
        <v>407</v>
      </c>
      <c r="E9" s="56" t="s">
        <v>396</v>
      </c>
      <c r="F9" s="56" t="s">
        <v>244</v>
      </c>
      <c r="G9" s="56" t="s">
        <v>245</v>
      </c>
      <c r="H9" s="56" t="s">
        <v>10</v>
      </c>
      <c r="I9" s="58">
        <v>1.0</v>
      </c>
      <c r="J9" s="56" t="s">
        <v>397</v>
      </c>
      <c r="L9" s="59">
        <v>46146.65215277778</v>
      </c>
      <c r="M9" s="56" t="s">
        <v>398</v>
      </c>
    </row>
    <row r="10">
      <c r="A10" s="56" t="s">
        <v>408</v>
      </c>
      <c r="B10" s="57">
        <v>46098.0</v>
      </c>
      <c r="C10" s="56" t="s">
        <v>394</v>
      </c>
      <c r="D10" s="56" t="s">
        <v>407</v>
      </c>
      <c r="E10" s="56" t="s">
        <v>396</v>
      </c>
      <c r="F10" s="56" t="s">
        <v>55</v>
      </c>
      <c r="G10" s="56" t="s">
        <v>56</v>
      </c>
      <c r="H10" s="56" t="s">
        <v>10</v>
      </c>
      <c r="I10" s="58">
        <v>1.0</v>
      </c>
      <c r="J10" s="56" t="s">
        <v>397</v>
      </c>
      <c r="L10" s="59">
        <v>46146.653136574074</v>
      </c>
      <c r="M10" s="56" t="s">
        <v>398</v>
      </c>
    </row>
    <row r="11">
      <c r="A11" s="56" t="s">
        <v>409</v>
      </c>
      <c r="B11" s="57">
        <v>46112.0</v>
      </c>
      <c r="C11" s="56" t="s">
        <v>394</v>
      </c>
      <c r="D11" s="56" t="s">
        <v>410</v>
      </c>
      <c r="E11" s="56" t="s">
        <v>396</v>
      </c>
      <c r="F11" s="56" t="s">
        <v>138</v>
      </c>
      <c r="G11" s="56" t="s">
        <v>139</v>
      </c>
      <c r="H11" s="56" t="s">
        <v>9</v>
      </c>
      <c r="I11" s="58">
        <v>1.0</v>
      </c>
      <c r="J11" s="56" t="s">
        <v>397</v>
      </c>
      <c r="L11" s="59">
        <v>46146.68331018519</v>
      </c>
      <c r="M11" s="56" t="s">
        <v>398</v>
      </c>
    </row>
    <row r="12">
      <c r="A12" s="56" t="s">
        <v>411</v>
      </c>
      <c r="B12" s="57">
        <v>46123.0</v>
      </c>
      <c r="C12" s="56" t="s">
        <v>394</v>
      </c>
      <c r="D12" s="56" t="s">
        <v>412</v>
      </c>
      <c r="E12" s="56" t="s">
        <v>396</v>
      </c>
      <c r="F12" s="56" t="s">
        <v>269</v>
      </c>
      <c r="G12" s="56" t="s">
        <v>270</v>
      </c>
      <c r="H12" s="56" t="s">
        <v>7</v>
      </c>
      <c r="I12" s="58">
        <v>1.0</v>
      </c>
      <c r="J12" s="56" t="s">
        <v>413</v>
      </c>
      <c r="L12" s="59">
        <v>46146.68649305555</v>
      </c>
      <c r="M12" s="56" t="s">
        <v>398</v>
      </c>
    </row>
    <row r="13">
      <c r="A13" s="56" t="s">
        <v>414</v>
      </c>
      <c r="B13" s="57">
        <v>46098.0</v>
      </c>
      <c r="C13" s="56" t="s">
        <v>394</v>
      </c>
      <c r="D13" s="56" t="s">
        <v>415</v>
      </c>
      <c r="E13" s="56" t="s">
        <v>396</v>
      </c>
      <c r="F13" s="56" t="s">
        <v>166</v>
      </c>
      <c r="G13" s="56" t="s">
        <v>167</v>
      </c>
      <c r="H13" s="56" t="s">
        <v>7</v>
      </c>
      <c r="I13" s="58">
        <v>1.0</v>
      </c>
      <c r="J13" s="56" t="s">
        <v>416</v>
      </c>
      <c r="L13" s="59">
        <v>46148.593622685185</v>
      </c>
      <c r="M13" s="56" t="s">
        <v>398</v>
      </c>
    </row>
    <row r="14">
      <c r="A14" s="56" t="s">
        <v>417</v>
      </c>
      <c r="B14" s="57">
        <v>46111.0</v>
      </c>
      <c r="C14" s="56" t="s">
        <v>394</v>
      </c>
      <c r="D14" s="56" t="s">
        <v>415</v>
      </c>
      <c r="E14" s="56" t="s">
        <v>396</v>
      </c>
      <c r="F14" s="56" t="s">
        <v>158</v>
      </c>
      <c r="G14" s="56" t="s">
        <v>159</v>
      </c>
      <c r="H14" s="56" t="s">
        <v>7</v>
      </c>
      <c r="I14" s="58">
        <v>1.0</v>
      </c>
      <c r="J14" s="56" t="s">
        <v>416</v>
      </c>
      <c r="L14" s="59">
        <v>46148.5991087963</v>
      </c>
      <c r="M14" s="56" t="s">
        <v>398</v>
      </c>
    </row>
    <row r="15">
      <c r="A15" s="56" t="s">
        <v>418</v>
      </c>
      <c r="B15" s="57">
        <v>46098.0</v>
      </c>
      <c r="C15" s="56" t="s">
        <v>394</v>
      </c>
      <c r="D15" s="56" t="s">
        <v>415</v>
      </c>
      <c r="E15" s="56" t="s">
        <v>396</v>
      </c>
      <c r="F15" s="56" t="s">
        <v>166</v>
      </c>
      <c r="G15" s="56" t="s">
        <v>167</v>
      </c>
      <c r="H15" s="56" t="s">
        <v>7</v>
      </c>
      <c r="I15" s="58">
        <v>1.0</v>
      </c>
      <c r="J15" s="56" t="s">
        <v>413</v>
      </c>
      <c r="L15" s="59">
        <v>46148.60346064815</v>
      </c>
      <c r="M15" s="56" t="s">
        <v>398</v>
      </c>
    </row>
    <row r="16">
      <c r="A16" s="56" t="s">
        <v>419</v>
      </c>
      <c r="B16" s="57">
        <v>46098.0</v>
      </c>
      <c r="C16" s="56" t="s">
        <v>394</v>
      </c>
      <c r="D16" s="56" t="s">
        <v>420</v>
      </c>
      <c r="E16" s="56" t="s">
        <v>396</v>
      </c>
      <c r="F16" s="56" t="s">
        <v>166</v>
      </c>
      <c r="G16" s="56" t="s">
        <v>167</v>
      </c>
      <c r="H16" s="56" t="s">
        <v>7</v>
      </c>
      <c r="I16" s="58">
        <v>1.0</v>
      </c>
      <c r="J16" s="56" t="s">
        <v>413</v>
      </c>
      <c r="L16" s="59">
        <v>46148.60671296297</v>
      </c>
      <c r="M16" s="56" t="s">
        <v>398</v>
      </c>
    </row>
    <row r="17">
      <c r="A17" s="56" t="s">
        <v>419</v>
      </c>
      <c r="B17" s="57">
        <v>46098.0</v>
      </c>
      <c r="C17" s="56" t="s">
        <v>394</v>
      </c>
      <c r="D17" s="56" t="s">
        <v>420</v>
      </c>
      <c r="E17" s="56" t="s">
        <v>396</v>
      </c>
      <c r="F17" s="56" t="s">
        <v>158</v>
      </c>
      <c r="G17" s="56" t="s">
        <v>159</v>
      </c>
      <c r="H17" s="56" t="s">
        <v>7</v>
      </c>
      <c r="I17" s="58">
        <v>1.0</v>
      </c>
      <c r="J17" s="56" t="s">
        <v>413</v>
      </c>
      <c r="L17" s="59">
        <v>46148.60671296297</v>
      </c>
      <c r="M17" s="56" t="s">
        <v>398</v>
      </c>
    </row>
    <row r="18">
      <c r="A18" s="56" t="s">
        <v>421</v>
      </c>
      <c r="B18" s="57">
        <v>46122.0</v>
      </c>
      <c r="C18" s="56" t="s">
        <v>394</v>
      </c>
      <c r="D18" s="56" t="s">
        <v>422</v>
      </c>
      <c r="E18" s="56" t="s">
        <v>396</v>
      </c>
      <c r="F18" s="56" t="s">
        <v>79</v>
      </c>
      <c r="G18" s="56" t="s">
        <v>80</v>
      </c>
      <c r="H18" s="56" t="s">
        <v>7</v>
      </c>
      <c r="I18" s="58">
        <v>1.0</v>
      </c>
      <c r="J18" s="56" t="s">
        <v>397</v>
      </c>
      <c r="L18" s="59">
        <v>46148.607523148145</v>
      </c>
      <c r="M18" s="56" t="s">
        <v>398</v>
      </c>
    </row>
    <row r="19">
      <c r="A19" s="56" t="s">
        <v>423</v>
      </c>
      <c r="B19" s="57">
        <v>46112.0</v>
      </c>
      <c r="C19" s="56" t="s">
        <v>394</v>
      </c>
      <c r="D19" s="56" t="s">
        <v>424</v>
      </c>
      <c r="E19" s="56" t="s">
        <v>396</v>
      </c>
      <c r="F19" s="56" t="s">
        <v>124</v>
      </c>
      <c r="G19" s="56" t="s">
        <v>125</v>
      </c>
      <c r="H19" s="56" t="s">
        <v>9</v>
      </c>
      <c r="I19" s="58">
        <v>1.0</v>
      </c>
      <c r="J19" s="56" t="s">
        <v>397</v>
      </c>
      <c r="L19" s="59">
        <v>46148.61252314815</v>
      </c>
      <c r="M19" s="56" t="s">
        <v>398</v>
      </c>
    </row>
    <row r="20">
      <c r="A20" s="56" t="s">
        <v>425</v>
      </c>
      <c r="B20" s="57">
        <v>46123.0</v>
      </c>
      <c r="C20" s="56" t="s">
        <v>394</v>
      </c>
      <c r="D20" s="56" t="s">
        <v>426</v>
      </c>
      <c r="E20" s="56" t="s">
        <v>396</v>
      </c>
      <c r="F20" s="56" t="s">
        <v>79</v>
      </c>
      <c r="G20" s="56" t="s">
        <v>80</v>
      </c>
      <c r="H20" s="56" t="s">
        <v>7</v>
      </c>
      <c r="I20" s="58">
        <v>1.0</v>
      </c>
      <c r="J20" s="56" t="s">
        <v>416</v>
      </c>
      <c r="L20" s="59">
        <v>46148.618425925924</v>
      </c>
      <c r="M20" s="56" t="s">
        <v>398</v>
      </c>
    </row>
    <row r="21">
      <c r="A21" s="56" t="s">
        <v>427</v>
      </c>
      <c r="B21" s="57">
        <v>46124.0</v>
      </c>
      <c r="C21" s="56" t="s">
        <v>394</v>
      </c>
      <c r="D21" s="56" t="s">
        <v>428</v>
      </c>
      <c r="E21" s="56" t="s">
        <v>396</v>
      </c>
      <c r="F21" s="56" t="s">
        <v>79</v>
      </c>
      <c r="G21" s="56" t="s">
        <v>80</v>
      </c>
      <c r="H21" s="56" t="s">
        <v>7</v>
      </c>
      <c r="I21" s="58">
        <v>1.0</v>
      </c>
      <c r="J21" s="56" t="s">
        <v>416</v>
      </c>
      <c r="L21" s="59">
        <v>46148.61960648148</v>
      </c>
      <c r="M21" s="56" t="s">
        <v>398</v>
      </c>
    </row>
    <row r="22">
      <c r="A22" s="56" t="s">
        <v>429</v>
      </c>
      <c r="B22" s="57">
        <v>46126.0</v>
      </c>
      <c r="C22" s="56" t="s">
        <v>394</v>
      </c>
      <c r="D22" s="56" t="s">
        <v>428</v>
      </c>
      <c r="E22" s="56" t="s">
        <v>396</v>
      </c>
      <c r="F22" s="56" t="s">
        <v>79</v>
      </c>
      <c r="G22" s="56" t="s">
        <v>80</v>
      </c>
      <c r="H22" s="56" t="s">
        <v>7</v>
      </c>
      <c r="I22" s="58">
        <v>1.0</v>
      </c>
      <c r="J22" s="56" t="s">
        <v>413</v>
      </c>
      <c r="L22" s="59">
        <v>46148.62091435185</v>
      </c>
      <c r="M22" s="56" t="s">
        <v>398</v>
      </c>
    </row>
    <row r="23">
      <c r="A23" s="56" t="s">
        <v>430</v>
      </c>
      <c r="B23" s="57">
        <v>46126.0</v>
      </c>
      <c r="C23" s="56" t="s">
        <v>394</v>
      </c>
      <c r="D23" s="56" t="s">
        <v>412</v>
      </c>
      <c r="E23" s="56" t="s">
        <v>396</v>
      </c>
      <c r="F23" s="56" t="s">
        <v>269</v>
      </c>
      <c r="G23" s="56" t="s">
        <v>270</v>
      </c>
      <c r="H23" s="56" t="s">
        <v>7</v>
      </c>
      <c r="I23" s="58">
        <v>1.0</v>
      </c>
      <c r="J23" s="56" t="s">
        <v>413</v>
      </c>
      <c r="L23" s="59">
        <v>46148.62179398148</v>
      </c>
      <c r="M23" s="56" t="s">
        <v>398</v>
      </c>
    </row>
    <row r="24">
      <c r="A24" s="56" t="s">
        <v>431</v>
      </c>
      <c r="B24" s="57">
        <v>46128.0</v>
      </c>
      <c r="C24" s="56" t="s">
        <v>394</v>
      </c>
      <c r="D24" s="56" t="s">
        <v>412</v>
      </c>
      <c r="E24" s="56" t="s">
        <v>396</v>
      </c>
      <c r="F24" s="56" t="s">
        <v>269</v>
      </c>
      <c r="G24" s="56" t="s">
        <v>270</v>
      </c>
      <c r="H24" s="56" t="s">
        <v>7</v>
      </c>
      <c r="I24" s="58">
        <v>1.0</v>
      </c>
      <c r="J24" s="56" t="s">
        <v>413</v>
      </c>
      <c r="L24" s="59">
        <v>46148.624074074076</v>
      </c>
      <c r="M24" s="56" t="s">
        <v>398</v>
      </c>
    </row>
    <row r="25">
      <c r="A25" s="56" t="s">
        <v>432</v>
      </c>
      <c r="B25" s="57">
        <v>46133.0</v>
      </c>
      <c r="C25" s="56" t="s">
        <v>394</v>
      </c>
      <c r="D25" s="56" t="s">
        <v>428</v>
      </c>
      <c r="E25" s="56" t="s">
        <v>396</v>
      </c>
      <c r="F25" s="56" t="s">
        <v>79</v>
      </c>
      <c r="G25" s="56" t="s">
        <v>80</v>
      </c>
      <c r="H25" s="56" t="s">
        <v>7</v>
      </c>
      <c r="I25" s="58">
        <v>1.0</v>
      </c>
      <c r="J25" s="56" t="s">
        <v>413</v>
      </c>
      <c r="L25" s="59">
        <v>46148.62466435185</v>
      </c>
      <c r="M25" s="56" t="s">
        <v>398</v>
      </c>
    </row>
    <row r="26">
      <c r="A26" s="56" t="s">
        <v>433</v>
      </c>
      <c r="B26" s="57">
        <v>46023.0</v>
      </c>
      <c r="C26" s="56" t="s">
        <v>434</v>
      </c>
      <c r="D26" s="56" t="s">
        <v>405</v>
      </c>
      <c r="E26" s="56" t="s">
        <v>396</v>
      </c>
      <c r="F26" s="56" t="s">
        <v>130</v>
      </c>
      <c r="G26" s="56" t="s">
        <v>131</v>
      </c>
      <c r="H26" s="56" t="s">
        <v>7</v>
      </c>
      <c r="I26" s="58">
        <v>1.0</v>
      </c>
      <c r="J26" s="56" t="s">
        <v>397</v>
      </c>
      <c r="L26" s="59">
        <v>46149.679618055554</v>
      </c>
      <c r="M26" s="56" t="s">
        <v>398</v>
      </c>
    </row>
    <row r="27">
      <c r="A27" s="56" t="s">
        <v>435</v>
      </c>
      <c r="B27" s="57">
        <v>46023.0</v>
      </c>
      <c r="C27" s="56" t="s">
        <v>434</v>
      </c>
      <c r="D27" s="56" t="s">
        <v>436</v>
      </c>
      <c r="E27" s="56" t="s">
        <v>396</v>
      </c>
      <c r="F27" s="56" t="s">
        <v>130</v>
      </c>
      <c r="G27" s="56" t="s">
        <v>131</v>
      </c>
      <c r="H27" s="56" t="s">
        <v>8</v>
      </c>
      <c r="I27" s="58">
        <v>1.0</v>
      </c>
      <c r="J27" s="56" t="s">
        <v>397</v>
      </c>
      <c r="L27" s="59">
        <v>46149.680393518516</v>
      </c>
      <c r="M27" s="56" t="s">
        <v>398</v>
      </c>
    </row>
    <row r="28">
      <c r="A28" s="56" t="s">
        <v>437</v>
      </c>
      <c r="B28" s="57">
        <v>46023.0</v>
      </c>
      <c r="C28" s="56" t="s">
        <v>434</v>
      </c>
      <c r="D28" s="56" t="s">
        <v>438</v>
      </c>
      <c r="E28" s="56" t="s">
        <v>396</v>
      </c>
      <c r="F28" s="56" t="s">
        <v>130</v>
      </c>
      <c r="G28" s="56" t="s">
        <v>131</v>
      </c>
      <c r="H28" s="56" t="s">
        <v>9</v>
      </c>
      <c r="I28" s="58">
        <v>1.0</v>
      </c>
      <c r="J28" s="56" t="s">
        <v>397</v>
      </c>
      <c r="L28" s="59">
        <v>46149.69480324074</v>
      </c>
      <c r="M28" s="56" t="s">
        <v>398</v>
      </c>
    </row>
    <row r="29">
      <c r="A29" s="56" t="s">
        <v>439</v>
      </c>
      <c r="B29" s="57">
        <v>46030.0</v>
      </c>
      <c r="C29" s="56" t="s">
        <v>434</v>
      </c>
      <c r="D29" s="56" t="s">
        <v>440</v>
      </c>
      <c r="E29" s="56" t="s">
        <v>396</v>
      </c>
      <c r="F29" s="56" t="s">
        <v>130</v>
      </c>
      <c r="G29" s="56" t="s">
        <v>131</v>
      </c>
      <c r="H29" s="56" t="s">
        <v>9</v>
      </c>
      <c r="I29" s="58">
        <v>1.0</v>
      </c>
      <c r="J29" s="56" t="s">
        <v>397</v>
      </c>
      <c r="L29" s="59">
        <v>46149.69548611111</v>
      </c>
      <c r="M29" s="56" t="s">
        <v>398</v>
      </c>
    </row>
    <row r="30">
      <c r="A30" s="56" t="s">
        <v>441</v>
      </c>
      <c r="B30" s="57">
        <v>46033.0</v>
      </c>
      <c r="C30" s="56" t="s">
        <v>434</v>
      </c>
      <c r="D30" s="56" t="s">
        <v>442</v>
      </c>
      <c r="E30" s="56" t="s">
        <v>396</v>
      </c>
      <c r="F30" s="56" t="s">
        <v>249</v>
      </c>
      <c r="G30" s="56" t="s">
        <v>250</v>
      </c>
      <c r="H30" s="56" t="s">
        <v>10</v>
      </c>
      <c r="I30" s="58">
        <v>1.0</v>
      </c>
      <c r="J30" s="56" t="s">
        <v>397</v>
      </c>
      <c r="L30" s="59">
        <v>46149.69663194445</v>
      </c>
      <c r="M30" s="56" t="s">
        <v>398</v>
      </c>
    </row>
    <row r="31">
      <c r="A31" s="56" t="s">
        <v>443</v>
      </c>
      <c r="B31" s="57">
        <v>46039.0</v>
      </c>
      <c r="C31" s="56" t="s">
        <v>434</v>
      </c>
      <c r="D31" s="56" t="s">
        <v>444</v>
      </c>
      <c r="E31" s="56" t="s">
        <v>396</v>
      </c>
      <c r="F31" s="56" t="s">
        <v>27</v>
      </c>
      <c r="G31" s="56" t="s">
        <v>28</v>
      </c>
      <c r="H31" s="56" t="s">
        <v>7</v>
      </c>
      <c r="I31" s="58">
        <v>1.0</v>
      </c>
      <c r="J31" s="56" t="s">
        <v>397</v>
      </c>
      <c r="L31" s="59">
        <v>46149.69857638889</v>
      </c>
      <c r="M31" s="56" t="s">
        <v>398</v>
      </c>
    </row>
    <row r="32">
      <c r="A32" s="56" t="s">
        <v>443</v>
      </c>
      <c r="B32" s="57">
        <v>46039.0</v>
      </c>
      <c r="C32" s="56" t="s">
        <v>434</v>
      </c>
      <c r="D32" s="56" t="s">
        <v>444</v>
      </c>
      <c r="E32" s="56" t="s">
        <v>396</v>
      </c>
      <c r="F32" s="56" t="s">
        <v>127</v>
      </c>
      <c r="G32" s="56" t="s">
        <v>128</v>
      </c>
      <c r="H32" s="56" t="s">
        <v>7</v>
      </c>
      <c r="I32" s="58">
        <v>1.0</v>
      </c>
      <c r="J32" s="56" t="s">
        <v>397</v>
      </c>
      <c r="L32" s="59">
        <v>46149.69857638889</v>
      </c>
      <c r="M32" s="56" t="s">
        <v>398</v>
      </c>
    </row>
    <row r="33">
      <c r="A33" s="56" t="s">
        <v>445</v>
      </c>
      <c r="B33" s="57">
        <v>46040.0</v>
      </c>
      <c r="C33" s="56" t="s">
        <v>434</v>
      </c>
      <c r="D33" s="56" t="s">
        <v>444</v>
      </c>
      <c r="E33" s="56" t="s">
        <v>396</v>
      </c>
      <c r="F33" s="56" t="s">
        <v>130</v>
      </c>
      <c r="G33" s="56" t="s">
        <v>131</v>
      </c>
      <c r="H33" s="56" t="s">
        <v>9</v>
      </c>
      <c r="I33" s="58">
        <v>1.0</v>
      </c>
      <c r="J33" s="56" t="s">
        <v>397</v>
      </c>
      <c r="L33" s="59">
        <v>46149.701875</v>
      </c>
      <c r="M33" s="56" t="s">
        <v>398</v>
      </c>
    </row>
    <row r="34">
      <c r="A34" s="56" t="s">
        <v>445</v>
      </c>
      <c r="B34" s="57">
        <v>46040.0</v>
      </c>
      <c r="C34" s="56" t="s">
        <v>434</v>
      </c>
      <c r="D34" s="56" t="s">
        <v>444</v>
      </c>
      <c r="E34" s="56" t="s">
        <v>396</v>
      </c>
      <c r="F34" s="56" t="s">
        <v>136</v>
      </c>
      <c r="G34" s="56" t="s">
        <v>137</v>
      </c>
      <c r="H34" s="56" t="s">
        <v>8</v>
      </c>
      <c r="I34" s="58">
        <v>1.0</v>
      </c>
      <c r="J34" s="56" t="s">
        <v>397</v>
      </c>
      <c r="L34" s="59">
        <v>46149.701875</v>
      </c>
      <c r="M34" s="56" t="s">
        <v>398</v>
      </c>
    </row>
    <row r="35">
      <c r="A35" s="56" t="s">
        <v>446</v>
      </c>
      <c r="B35" s="57">
        <v>46041.0</v>
      </c>
      <c r="C35" s="56" t="s">
        <v>434</v>
      </c>
      <c r="D35" s="56" t="s">
        <v>447</v>
      </c>
      <c r="E35" s="56" t="s">
        <v>396</v>
      </c>
      <c r="F35" s="56" t="s">
        <v>166</v>
      </c>
      <c r="G35" s="56" t="s">
        <v>167</v>
      </c>
      <c r="H35" s="56" t="s">
        <v>9</v>
      </c>
      <c r="I35" s="58">
        <v>1.0</v>
      </c>
      <c r="J35" s="56" t="s">
        <v>397</v>
      </c>
      <c r="L35" s="59">
        <v>46149.70469907407</v>
      </c>
      <c r="M35" s="56" t="s">
        <v>398</v>
      </c>
    </row>
    <row r="36">
      <c r="A36" s="56" t="s">
        <v>446</v>
      </c>
      <c r="B36" s="57">
        <v>46041.0</v>
      </c>
      <c r="C36" s="56" t="s">
        <v>434</v>
      </c>
      <c r="D36" s="56" t="s">
        <v>447</v>
      </c>
      <c r="E36" s="56" t="s">
        <v>396</v>
      </c>
      <c r="F36" s="56" t="s">
        <v>124</v>
      </c>
      <c r="G36" s="56" t="s">
        <v>125</v>
      </c>
      <c r="H36" s="56" t="s">
        <v>7</v>
      </c>
      <c r="I36" s="58">
        <v>1.0</v>
      </c>
      <c r="J36" s="56" t="s">
        <v>397</v>
      </c>
      <c r="L36" s="59">
        <v>46149.70469907407</v>
      </c>
      <c r="M36" s="56" t="s">
        <v>398</v>
      </c>
    </row>
    <row r="37">
      <c r="A37" s="56" t="s">
        <v>446</v>
      </c>
      <c r="B37" s="57">
        <v>46041.0</v>
      </c>
      <c r="C37" s="56" t="s">
        <v>434</v>
      </c>
      <c r="D37" s="56" t="s">
        <v>447</v>
      </c>
      <c r="E37" s="56" t="s">
        <v>396</v>
      </c>
      <c r="F37" s="56" t="s">
        <v>17</v>
      </c>
      <c r="G37" s="56" t="s">
        <v>18</v>
      </c>
      <c r="H37" s="56" t="s">
        <v>8</v>
      </c>
      <c r="I37" s="58">
        <v>1.0</v>
      </c>
      <c r="J37" s="56" t="s">
        <v>397</v>
      </c>
      <c r="L37" s="59">
        <v>46149.70469907407</v>
      </c>
      <c r="M37" s="56" t="s">
        <v>398</v>
      </c>
    </row>
    <row r="38">
      <c r="A38" s="56" t="s">
        <v>448</v>
      </c>
      <c r="B38" s="57">
        <v>46041.0</v>
      </c>
      <c r="C38" s="56" t="s">
        <v>434</v>
      </c>
      <c r="D38" s="56" t="s">
        <v>405</v>
      </c>
      <c r="E38" s="56" t="s">
        <v>396</v>
      </c>
      <c r="F38" s="56" t="s">
        <v>138</v>
      </c>
      <c r="G38" s="56" t="s">
        <v>139</v>
      </c>
      <c r="H38" s="56" t="s">
        <v>10</v>
      </c>
      <c r="I38" s="58">
        <v>1.0</v>
      </c>
      <c r="J38" s="56" t="s">
        <v>397</v>
      </c>
      <c r="L38" s="59">
        <v>46149.711851851855</v>
      </c>
      <c r="M38" s="56" t="s">
        <v>398</v>
      </c>
    </row>
    <row r="39">
      <c r="A39" s="56" t="s">
        <v>448</v>
      </c>
      <c r="B39" s="57">
        <v>46041.0</v>
      </c>
      <c r="C39" s="56" t="s">
        <v>434</v>
      </c>
      <c r="D39" s="56" t="s">
        <v>405</v>
      </c>
      <c r="E39" s="56" t="s">
        <v>396</v>
      </c>
      <c r="F39" s="56" t="s">
        <v>136</v>
      </c>
      <c r="G39" s="56" t="s">
        <v>137</v>
      </c>
      <c r="H39" s="56" t="s">
        <v>10</v>
      </c>
      <c r="I39" s="58">
        <v>1.0</v>
      </c>
      <c r="J39" s="56" t="s">
        <v>397</v>
      </c>
      <c r="L39" s="59">
        <v>46149.711851851855</v>
      </c>
      <c r="M39" s="56" t="s">
        <v>398</v>
      </c>
    </row>
    <row r="40">
      <c r="A40" s="56" t="s">
        <v>448</v>
      </c>
      <c r="B40" s="57">
        <v>46041.0</v>
      </c>
      <c r="C40" s="56" t="s">
        <v>434</v>
      </c>
      <c r="D40" s="56" t="s">
        <v>405</v>
      </c>
      <c r="E40" s="56" t="s">
        <v>396</v>
      </c>
      <c r="F40" s="56" t="s">
        <v>21</v>
      </c>
      <c r="G40" s="56" t="s">
        <v>22</v>
      </c>
      <c r="H40" s="56" t="s">
        <v>8</v>
      </c>
      <c r="I40" s="58">
        <v>1.0</v>
      </c>
      <c r="J40" s="56" t="s">
        <v>397</v>
      </c>
      <c r="L40" s="59">
        <v>46149.711851851855</v>
      </c>
      <c r="M40" s="56" t="s">
        <v>398</v>
      </c>
    </row>
    <row r="41">
      <c r="A41" s="56" t="s">
        <v>448</v>
      </c>
      <c r="B41" s="57">
        <v>46041.0</v>
      </c>
      <c r="C41" s="56" t="s">
        <v>434</v>
      </c>
      <c r="D41" s="56" t="s">
        <v>405</v>
      </c>
      <c r="E41" s="56" t="s">
        <v>396</v>
      </c>
      <c r="F41" s="56" t="s">
        <v>17</v>
      </c>
      <c r="G41" s="56" t="s">
        <v>18</v>
      </c>
      <c r="H41" s="56" t="s">
        <v>9</v>
      </c>
      <c r="I41" s="58">
        <v>1.0</v>
      </c>
      <c r="J41" s="56" t="s">
        <v>397</v>
      </c>
      <c r="L41" s="59">
        <v>46149.711851851855</v>
      </c>
      <c r="M41" s="56" t="s">
        <v>398</v>
      </c>
    </row>
    <row r="42">
      <c r="A42" s="56" t="s">
        <v>448</v>
      </c>
      <c r="B42" s="57">
        <v>46041.0</v>
      </c>
      <c r="C42" s="56" t="s">
        <v>434</v>
      </c>
      <c r="D42" s="56" t="s">
        <v>405</v>
      </c>
      <c r="E42" s="56" t="s">
        <v>396</v>
      </c>
      <c r="F42" s="56" t="s">
        <v>25</v>
      </c>
      <c r="G42" s="56" t="s">
        <v>26</v>
      </c>
      <c r="H42" s="56" t="s">
        <v>9</v>
      </c>
      <c r="I42" s="58">
        <v>1.0</v>
      </c>
      <c r="J42" s="56" t="s">
        <v>397</v>
      </c>
      <c r="L42" s="59">
        <v>46149.711851851855</v>
      </c>
      <c r="M42" s="56" t="s">
        <v>398</v>
      </c>
    </row>
    <row r="43">
      <c r="A43" s="56" t="s">
        <v>448</v>
      </c>
      <c r="B43" s="57">
        <v>46041.0</v>
      </c>
      <c r="C43" s="56" t="s">
        <v>434</v>
      </c>
      <c r="D43" s="56" t="s">
        <v>405</v>
      </c>
      <c r="E43" s="56" t="s">
        <v>396</v>
      </c>
      <c r="F43" s="56" t="s">
        <v>23</v>
      </c>
      <c r="G43" s="56" t="s">
        <v>24</v>
      </c>
      <c r="H43" s="56" t="s">
        <v>9</v>
      </c>
      <c r="I43" s="58">
        <v>1.0</v>
      </c>
      <c r="J43" s="56" t="s">
        <v>397</v>
      </c>
      <c r="L43" s="59">
        <v>46149.711851851855</v>
      </c>
      <c r="M43" s="56" t="s">
        <v>398</v>
      </c>
    </row>
    <row r="44">
      <c r="A44" s="56" t="s">
        <v>448</v>
      </c>
      <c r="B44" s="57">
        <v>46041.0</v>
      </c>
      <c r="C44" s="56" t="s">
        <v>434</v>
      </c>
      <c r="D44" s="56" t="s">
        <v>405</v>
      </c>
      <c r="E44" s="56" t="s">
        <v>396</v>
      </c>
      <c r="F44" s="56" t="s">
        <v>127</v>
      </c>
      <c r="G44" s="56" t="s">
        <v>128</v>
      </c>
      <c r="H44" s="56" t="s">
        <v>8</v>
      </c>
      <c r="I44" s="58">
        <v>1.0</v>
      </c>
      <c r="J44" s="56" t="s">
        <v>397</v>
      </c>
      <c r="L44" s="59">
        <v>46149.711851851855</v>
      </c>
      <c r="M44" s="56" t="s">
        <v>398</v>
      </c>
    </row>
    <row r="45">
      <c r="A45" s="56" t="s">
        <v>449</v>
      </c>
      <c r="B45" s="57">
        <v>46043.0</v>
      </c>
      <c r="C45" s="56" t="s">
        <v>434</v>
      </c>
      <c r="D45" s="56" t="s">
        <v>450</v>
      </c>
      <c r="E45" s="56" t="s">
        <v>396</v>
      </c>
      <c r="F45" s="56" t="s">
        <v>249</v>
      </c>
      <c r="G45" s="56" t="s">
        <v>250</v>
      </c>
      <c r="H45" s="56" t="s">
        <v>9</v>
      </c>
      <c r="I45" s="58">
        <v>1.0</v>
      </c>
      <c r="J45" s="56" t="s">
        <v>397</v>
      </c>
      <c r="L45" s="59">
        <v>46149.712916666664</v>
      </c>
      <c r="M45" s="56" t="s">
        <v>398</v>
      </c>
    </row>
    <row r="46">
      <c r="A46" s="56" t="s">
        <v>449</v>
      </c>
      <c r="B46" s="57">
        <v>46043.0</v>
      </c>
      <c r="C46" s="56" t="s">
        <v>434</v>
      </c>
      <c r="D46" s="56" t="s">
        <v>450</v>
      </c>
      <c r="E46" s="56" t="s">
        <v>396</v>
      </c>
      <c r="F46" s="56" t="s">
        <v>166</v>
      </c>
      <c r="G46" s="56" t="s">
        <v>167</v>
      </c>
      <c r="H46" s="56" t="s">
        <v>9</v>
      </c>
      <c r="I46" s="58">
        <v>1.0</v>
      </c>
      <c r="J46" s="56" t="s">
        <v>397</v>
      </c>
      <c r="L46" s="59">
        <v>46149.712916666664</v>
      </c>
      <c r="M46" s="56" t="s">
        <v>398</v>
      </c>
    </row>
    <row r="47">
      <c r="A47" s="56" t="s">
        <v>451</v>
      </c>
      <c r="B47" s="57">
        <v>46075.0</v>
      </c>
      <c r="C47" s="56" t="s">
        <v>434</v>
      </c>
      <c r="D47" s="56" t="s">
        <v>407</v>
      </c>
      <c r="E47" s="56" t="s">
        <v>396</v>
      </c>
      <c r="F47" s="56" t="s">
        <v>200</v>
      </c>
      <c r="G47" s="56" t="s">
        <v>201</v>
      </c>
      <c r="H47" s="56" t="s">
        <v>10</v>
      </c>
      <c r="I47" s="58">
        <v>1.0</v>
      </c>
      <c r="J47" s="56" t="s">
        <v>397</v>
      </c>
      <c r="L47" s="59">
        <v>46149.72190972222</v>
      </c>
      <c r="M47" s="56" t="s">
        <v>398</v>
      </c>
    </row>
    <row r="48">
      <c r="A48" s="56" t="s">
        <v>451</v>
      </c>
      <c r="B48" s="57">
        <v>46075.0</v>
      </c>
      <c r="C48" s="56" t="s">
        <v>434</v>
      </c>
      <c r="D48" s="56" t="s">
        <v>407</v>
      </c>
      <c r="E48" s="56" t="s">
        <v>396</v>
      </c>
      <c r="F48" s="56" t="s">
        <v>60</v>
      </c>
      <c r="G48" s="56" t="s">
        <v>61</v>
      </c>
      <c r="H48" s="56" t="s">
        <v>10</v>
      </c>
      <c r="I48" s="58">
        <v>1.0</v>
      </c>
      <c r="J48" s="56" t="s">
        <v>397</v>
      </c>
      <c r="L48" s="59">
        <v>46149.72190972222</v>
      </c>
      <c r="M48" s="56" t="s">
        <v>398</v>
      </c>
    </row>
    <row r="49">
      <c r="A49" s="56" t="s">
        <v>451</v>
      </c>
      <c r="B49" s="57">
        <v>46075.0</v>
      </c>
      <c r="C49" s="56" t="s">
        <v>434</v>
      </c>
      <c r="D49" s="56" t="s">
        <v>407</v>
      </c>
      <c r="E49" s="56" t="s">
        <v>396</v>
      </c>
      <c r="F49" s="56" t="s">
        <v>210</v>
      </c>
      <c r="G49" s="56" t="s">
        <v>211</v>
      </c>
      <c r="H49" s="56" t="s">
        <v>10</v>
      </c>
      <c r="I49" s="58">
        <v>1.0</v>
      </c>
      <c r="J49" s="56" t="s">
        <v>397</v>
      </c>
      <c r="L49" s="59">
        <v>46149.72190972222</v>
      </c>
      <c r="M49" s="56" t="s">
        <v>398</v>
      </c>
    </row>
    <row r="50">
      <c r="A50" s="56" t="s">
        <v>451</v>
      </c>
      <c r="B50" s="57">
        <v>46075.0</v>
      </c>
      <c r="C50" s="56" t="s">
        <v>434</v>
      </c>
      <c r="D50" s="56" t="s">
        <v>407</v>
      </c>
      <c r="E50" s="56" t="s">
        <v>396</v>
      </c>
      <c r="F50" s="56" t="s">
        <v>190</v>
      </c>
      <c r="G50" s="56" t="s">
        <v>191</v>
      </c>
      <c r="H50" s="56" t="s">
        <v>10</v>
      </c>
      <c r="I50" s="58">
        <v>1.0</v>
      </c>
      <c r="J50" s="56" t="s">
        <v>397</v>
      </c>
      <c r="L50" s="59">
        <v>46149.72190972222</v>
      </c>
      <c r="M50" s="56" t="s">
        <v>398</v>
      </c>
    </row>
    <row r="51">
      <c r="A51" s="56" t="s">
        <v>451</v>
      </c>
      <c r="B51" s="57">
        <v>46075.0</v>
      </c>
      <c r="C51" s="56" t="s">
        <v>434</v>
      </c>
      <c r="D51" s="56" t="s">
        <v>407</v>
      </c>
      <c r="E51" s="56" t="s">
        <v>396</v>
      </c>
      <c r="F51" s="56" t="s">
        <v>152</v>
      </c>
      <c r="G51" s="56" t="s">
        <v>153</v>
      </c>
      <c r="H51" s="56" t="s">
        <v>10</v>
      </c>
      <c r="I51" s="58">
        <v>1.0</v>
      </c>
      <c r="J51" s="56" t="s">
        <v>397</v>
      </c>
      <c r="L51" s="59">
        <v>46149.72190972222</v>
      </c>
      <c r="M51" s="56" t="s">
        <v>398</v>
      </c>
    </row>
    <row r="52">
      <c r="A52" s="56" t="s">
        <v>452</v>
      </c>
      <c r="B52" s="57">
        <v>46122.0</v>
      </c>
      <c r="C52" s="56" t="s">
        <v>434</v>
      </c>
      <c r="D52" s="56" t="s">
        <v>453</v>
      </c>
      <c r="E52" s="56" t="s">
        <v>396</v>
      </c>
      <c r="F52" s="56" t="s">
        <v>130</v>
      </c>
      <c r="G52" s="56" t="s">
        <v>131</v>
      </c>
      <c r="H52" s="56" t="s">
        <v>9</v>
      </c>
      <c r="I52" s="58">
        <v>1.0</v>
      </c>
      <c r="J52" s="56" t="s">
        <v>397</v>
      </c>
      <c r="L52" s="59">
        <v>46149.723958333336</v>
      </c>
      <c r="M52" s="56" t="s">
        <v>398</v>
      </c>
    </row>
    <row r="53">
      <c r="A53" s="56" t="s">
        <v>452</v>
      </c>
      <c r="B53" s="57">
        <v>46122.0</v>
      </c>
      <c r="C53" s="56" t="s">
        <v>434</v>
      </c>
      <c r="D53" s="56" t="s">
        <v>453</v>
      </c>
      <c r="E53" s="56" t="s">
        <v>396</v>
      </c>
      <c r="F53" s="56" t="s">
        <v>124</v>
      </c>
      <c r="G53" s="56" t="s">
        <v>125</v>
      </c>
      <c r="H53" s="56" t="s">
        <v>10</v>
      </c>
      <c r="I53" s="58">
        <v>1.0</v>
      </c>
      <c r="J53" s="56" t="s">
        <v>397</v>
      </c>
      <c r="L53" s="59">
        <v>46149.723958333336</v>
      </c>
      <c r="M53" s="56" t="s">
        <v>398</v>
      </c>
    </row>
    <row r="54">
      <c r="A54" s="56" t="s">
        <v>454</v>
      </c>
      <c r="B54" s="57">
        <v>46122.0</v>
      </c>
      <c r="C54" s="56" t="s">
        <v>434</v>
      </c>
      <c r="D54" s="56" t="s">
        <v>455</v>
      </c>
      <c r="E54" s="56" t="s">
        <v>396</v>
      </c>
      <c r="F54" s="56" t="s">
        <v>170</v>
      </c>
      <c r="G54" s="56" t="s">
        <v>171</v>
      </c>
      <c r="H54" s="56" t="s">
        <v>7</v>
      </c>
      <c r="I54" s="58">
        <v>1.0</v>
      </c>
      <c r="J54" s="56" t="s">
        <v>397</v>
      </c>
      <c r="L54" s="59">
        <v>46149.72446759259</v>
      </c>
      <c r="M54" s="56" t="s">
        <v>398</v>
      </c>
    </row>
    <row r="55">
      <c r="A55" s="56" t="s">
        <v>456</v>
      </c>
      <c r="B55" s="57">
        <v>46125.0</v>
      </c>
      <c r="C55" s="56" t="s">
        <v>434</v>
      </c>
      <c r="D55" s="56" t="s">
        <v>457</v>
      </c>
      <c r="E55" s="56" t="s">
        <v>396</v>
      </c>
      <c r="F55" s="56" t="s">
        <v>145</v>
      </c>
      <c r="G55" s="56" t="s">
        <v>146</v>
      </c>
      <c r="H55" s="56" t="s">
        <v>7</v>
      </c>
      <c r="I55" s="58">
        <v>1.0</v>
      </c>
      <c r="J55" s="56" t="s">
        <v>397</v>
      </c>
      <c r="L55" s="59">
        <v>46149.74428240741</v>
      </c>
      <c r="M55" s="56" t="s">
        <v>398</v>
      </c>
    </row>
    <row r="56">
      <c r="A56" s="56" t="s">
        <v>458</v>
      </c>
      <c r="B56" s="57">
        <v>46127.0</v>
      </c>
      <c r="C56" s="56" t="s">
        <v>434</v>
      </c>
      <c r="D56" s="56" t="s">
        <v>459</v>
      </c>
      <c r="E56" s="56" t="s">
        <v>396</v>
      </c>
      <c r="F56" s="56" t="s">
        <v>124</v>
      </c>
      <c r="G56" s="56" t="s">
        <v>125</v>
      </c>
      <c r="H56" s="56" t="s">
        <v>7</v>
      </c>
      <c r="I56" s="58">
        <v>1.0</v>
      </c>
      <c r="J56" s="56" t="s">
        <v>397</v>
      </c>
      <c r="L56" s="59">
        <v>46149.74493055556</v>
      </c>
      <c r="M56" s="56" t="s">
        <v>398</v>
      </c>
    </row>
    <row r="57">
      <c r="A57" s="56" t="s">
        <v>460</v>
      </c>
      <c r="B57" s="57">
        <v>46128.0</v>
      </c>
      <c r="C57" s="56" t="s">
        <v>434</v>
      </c>
      <c r="D57" s="56" t="s">
        <v>461</v>
      </c>
      <c r="E57" s="56" t="s">
        <v>396</v>
      </c>
      <c r="F57" s="56" t="s">
        <v>285</v>
      </c>
      <c r="G57" s="56" t="s">
        <v>286</v>
      </c>
      <c r="H57" s="56" t="s">
        <v>8</v>
      </c>
      <c r="I57" s="58">
        <v>1.0</v>
      </c>
      <c r="J57" s="56" t="s">
        <v>397</v>
      </c>
      <c r="L57" s="59">
        <v>46149.75019675926</v>
      </c>
      <c r="M57" s="56" t="s">
        <v>398</v>
      </c>
    </row>
    <row r="58">
      <c r="A58" s="56" t="s">
        <v>462</v>
      </c>
      <c r="B58" s="57">
        <v>46128.0</v>
      </c>
      <c r="C58" s="56" t="s">
        <v>434</v>
      </c>
      <c r="D58" s="56" t="s">
        <v>447</v>
      </c>
      <c r="E58" s="56" t="s">
        <v>396</v>
      </c>
      <c r="F58" s="56" t="s">
        <v>145</v>
      </c>
      <c r="G58" s="56" t="s">
        <v>146</v>
      </c>
      <c r="H58" s="56" t="s">
        <v>7</v>
      </c>
      <c r="I58" s="58">
        <v>1.0</v>
      </c>
      <c r="J58" s="56" t="s">
        <v>397</v>
      </c>
      <c r="L58" s="59">
        <v>46149.75310185185</v>
      </c>
      <c r="M58" s="56" t="s">
        <v>398</v>
      </c>
    </row>
    <row r="59">
      <c r="A59" s="56" t="s">
        <v>463</v>
      </c>
      <c r="B59" s="57">
        <v>46140.0</v>
      </c>
      <c r="C59" s="56" t="s">
        <v>434</v>
      </c>
      <c r="D59" s="56" t="s">
        <v>464</v>
      </c>
      <c r="E59" s="56" t="s">
        <v>396</v>
      </c>
      <c r="F59" s="56" t="s">
        <v>145</v>
      </c>
      <c r="G59" s="56" t="s">
        <v>146</v>
      </c>
      <c r="H59" s="56" t="s">
        <v>9</v>
      </c>
      <c r="I59" s="58">
        <v>1.0</v>
      </c>
      <c r="J59" s="56" t="s">
        <v>397</v>
      </c>
      <c r="L59" s="59">
        <v>46149.75423611111</v>
      </c>
      <c r="M59" s="56" t="s">
        <v>398</v>
      </c>
    </row>
    <row r="60">
      <c r="A60" s="56" t="s">
        <v>465</v>
      </c>
      <c r="B60" s="57">
        <v>46147.0</v>
      </c>
      <c r="C60" s="56" t="s">
        <v>434</v>
      </c>
      <c r="D60" s="56" t="s">
        <v>466</v>
      </c>
      <c r="E60" s="56" t="s">
        <v>396</v>
      </c>
      <c r="F60" s="56" t="s">
        <v>280</v>
      </c>
      <c r="G60" s="56" t="s">
        <v>281</v>
      </c>
      <c r="H60" s="56" t="s">
        <v>10</v>
      </c>
      <c r="I60" s="58">
        <v>1.0</v>
      </c>
      <c r="J60" s="56" t="s">
        <v>397</v>
      </c>
      <c r="L60" s="59">
        <v>46149.7559837963</v>
      </c>
      <c r="M60" s="56" t="s">
        <v>398</v>
      </c>
    </row>
    <row r="61">
      <c r="A61" s="56" t="s">
        <v>465</v>
      </c>
      <c r="B61" s="57">
        <v>46147.0</v>
      </c>
      <c r="C61" s="56" t="s">
        <v>434</v>
      </c>
      <c r="D61" s="56" t="s">
        <v>466</v>
      </c>
      <c r="E61" s="56" t="s">
        <v>396</v>
      </c>
      <c r="F61" s="56" t="s">
        <v>138</v>
      </c>
      <c r="G61" s="56" t="s">
        <v>139</v>
      </c>
      <c r="H61" s="56" t="s">
        <v>10</v>
      </c>
      <c r="I61" s="58">
        <v>1.0</v>
      </c>
      <c r="J61" s="56" t="s">
        <v>397</v>
      </c>
      <c r="L61" s="59">
        <v>46149.7559837963</v>
      </c>
      <c r="M61" s="56" t="s">
        <v>398</v>
      </c>
    </row>
    <row r="62">
      <c r="A62" s="56" t="s">
        <v>465</v>
      </c>
      <c r="B62" s="57">
        <v>46147.0</v>
      </c>
      <c r="C62" s="56" t="s">
        <v>434</v>
      </c>
      <c r="D62" s="56" t="s">
        <v>466</v>
      </c>
      <c r="E62" s="56" t="s">
        <v>396</v>
      </c>
      <c r="F62" s="56" t="s">
        <v>127</v>
      </c>
      <c r="G62" s="56" t="s">
        <v>128</v>
      </c>
      <c r="H62" s="56" t="s">
        <v>10</v>
      </c>
      <c r="I62" s="58">
        <v>1.0</v>
      </c>
      <c r="J62" s="56" t="s">
        <v>397</v>
      </c>
      <c r="L62" s="59">
        <v>46149.7559837963</v>
      </c>
      <c r="M62" s="56" t="s">
        <v>398</v>
      </c>
    </row>
    <row r="63">
      <c r="A63" s="56" t="s">
        <v>467</v>
      </c>
      <c r="B63" s="57">
        <v>46151.0</v>
      </c>
      <c r="C63" s="56" t="s">
        <v>394</v>
      </c>
      <c r="D63" s="56" t="s">
        <v>468</v>
      </c>
      <c r="E63" s="56" t="s">
        <v>396</v>
      </c>
      <c r="F63" s="56" t="s">
        <v>106</v>
      </c>
      <c r="G63" s="56" t="s">
        <v>107</v>
      </c>
      <c r="H63" s="56" t="s">
        <v>9</v>
      </c>
      <c r="I63" s="58">
        <v>1.0</v>
      </c>
      <c r="J63" s="56" t="s">
        <v>397</v>
      </c>
      <c r="L63" s="59">
        <v>46151.609872685185</v>
      </c>
      <c r="M63" s="56" t="s">
        <v>398</v>
      </c>
    </row>
    <row r="64">
      <c r="A64" s="56" t="s">
        <v>469</v>
      </c>
      <c r="B64" s="57">
        <v>46160.0</v>
      </c>
      <c r="C64" s="56" t="s">
        <v>434</v>
      </c>
      <c r="D64" s="56" t="s">
        <v>470</v>
      </c>
      <c r="E64" s="56">
        <v>9.650399788E9</v>
      </c>
      <c r="F64" s="56" t="s">
        <v>23</v>
      </c>
      <c r="G64" s="56" t="s">
        <v>24</v>
      </c>
      <c r="H64" s="56" t="s">
        <v>7</v>
      </c>
      <c r="I64" s="58">
        <v>1.0</v>
      </c>
      <c r="J64" s="56" t="s">
        <v>397</v>
      </c>
      <c r="L64" s="59">
        <v>46172.42392361111</v>
      </c>
      <c r="M64" s="56" t="s">
        <v>398</v>
      </c>
    </row>
    <row r="65">
      <c r="A65" s="56" t="s">
        <v>471</v>
      </c>
      <c r="B65" s="57">
        <v>46176.0</v>
      </c>
      <c r="C65" s="56" t="s">
        <v>434</v>
      </c>
      <c r="D65" s="56" t="s">
        <v>472</v>
      </c>
      <c r="E65" s="56">
        <v>8.904627995E9</v>
      </c>
      <c r="F65" s="56" t="s">
        <v>85</v>
      </c>
      <c r="G65" s="56" t="s">
        <v>86</v>
      </c>
      <c r="H65" s="56" t="s">
        <v>7</v>
      </c>
      <c r="I65" s="58">
        <v>2.0</v>
      </c>
      <c r="J65" s="56" t="s">
        <v>397</v>
      </c>
      <c r="L65" s="59">
        <v>46176.75204861111</v>
      </c>
      <c r="M65" s="56" t="s">
        <v>398</v>
      </c>
    </row>
    <row r="66">
      <c r="A66" s="56" t="s">
        <v>473</v>
      </c>
      <c r="B66" s="57">
        <v>46178.0</v>
      </c>
      <c r="C66" s="56" t="s">
        <v>434</v>
      </c>
      <c r="D66" s="56" t="s">
        <v>405</v>
      </c>
      <c r="E66" s="56" t="s">
        <v>396</v>
      </c>
      <c r="F66" s="56" t="s">
        <v>27</v>
      </c>
      <c r="G66" s="56" t="s">
        <v>28</v>
      </c>
      <c r="H66" s="56" t="s">
        <v>8</v>
      </c>
      <c r="I66" s="58">
        <v>1.0</v>
      </c>
      <c r="J66" s="56" t="s">
        <v>397</v>
      </c>
      <c r="L66" s="59">
        <v>46179.735625</v>
      </c>
      <c r="M66" s="56" t="s">
        <v>398</v>
      </c>
    </row>
    <row r="67">
      <c r="A67" s="56" t="s">
        <v>473</v>
      </c>
      <c r="B67" s="57">
        <v>46178.0</v>
      </c>
      <c r="C67" s="56" t="s">
        <v>434</v>
      </c>
      <c r="D67" s="56" t="s">
        <v>405</v>
      </c>
      <c r="E67" s="56" t="s">
        <v>396</v>
      </c>
      <c r="F67" s="56" t="s">
        <v>23</v>
      </c>
      <c r="G67" s="56" t="s">
        <v>24</v>
      </c>
      <c r="H67" s="56" t="s">
        <v>8</v>
      </c>
      <c r="I67" s="58">
        <v>1.0</v>
      </c>
      <c r="J67" s="56" t="s">
        <v>397</v>
      </c>
      <c r="L67" s="59">
        <v>46179.735625</v>
      </c>
      <c r="M67" s="56" t="s">
        <v>398</v>
      </c>
    </row>
    <row r="68">
      <c r="A68" s="56" t="s">
        <v>474</v>
      </c>
      <c r="B68" s="57">
        <v>46182.0</v>
      </c>
      <c r="C68" s="56" t="s">
        <v>394</v>
      </c>
      <c r="D68" s="56" t="s">
        <v>475</v>
      </c>
      <c r="E68" s="56" t="s">
        <v>396</v>
      </c>
      <c r="F68" s="56" t="s">
        <v>285</v>
      </c>
      <c r="G68" s="56" t="s">
        <v>286</v>
      </c>
      <c r="H68" s="56" t="s">
        <v>9</v>
      </c>
      <c r="I68" s="58">
        <v>1.0</v>
      </c>
      <c r="J68" s="56" t="s">
        <v>397</v>
      </c>
      <c r="L68" s="59">
        <v>46182.51091435185</v>
      </c>
      <c r="M68" s="56" t="s">
        <v>398</v>
      </c>
    </row>
    <row r="69">
      <c r="A69" s="56" t="s">
        <v>476</v>
      </c>
      <c r="B69" s="57">
        <v>46187.0</v>
      </c>
      <c r="C69" s="56" t="s">
        <v>434</v>
      </c>
      <c r="D69" s="56" t="s">
        <v>477</v>
      </c>
      <c r="E69" s="56" t="s">
        <v>396</v>
      </c>
      <c r="F69" s="56" t="s">
        <v>302</v>
      </c>
      <c r="G69" s="56" t="s">
        <v>303</v>
      </c>
      <c r="H69" s="56" t="s">
        <v>8</v>
      </c>
      <c r="I69" s="58">
        <v>1.0</v>
      </c>
      <c r="J69" s="56" t="s">
        <v>397</v>
      </c>
      <c r="L69" s="59">
        <v>46188.53238425926</v>
      </c>
      <c r="M69" s="56" t="s">
        <v>398</v>
      </c>
    </row>
    <row r="70">
      <c r="A70" s="56" t="s">
        <v>476</v>
      </c>
      <c r="B70" s="57">
        <v>46187.0</v>
      </c>
      <c r="C70" s="56" t="s">
        <v>434</v>
      </c>
      <c r="D70" s="56" t="s">
        <v>477</v>
      </c>
      <c r="E70" s="56" t="s">
        <v>396</v>
      </c>
      <c r="F70" s="56" t="s">
        <v>315</v>
      </c>
      <c r="G70" s="56" t="s">
        <v>316</v>
      </c>
      <c r="H70" s="56" t="s">
        <v>8</v>
      </c>
      <c r="I70" s="58">
        <v>1.0</v>
      </c>
      <c r="J70" s="56" t="s">
        <v>397</v>
      </c>
      <c r="L70" s="59">
        <v>46188.53238425926</v>
      </c>
      <c r="M70" s="56" t="s">
        <v>398</v>
      </c>
    </row>
    <row r="71">
      <c r="B71" s="60"/>
      <c r="L71" s="61"/>
    </row>
    <row r="72">
      <c r="B72" s="60"/>
      <c r="L72" s="61"/>
    </row>
    <row r="73">
      <c r="B73" s="60"/>
      <c r="L73" s="61"/>
    </row>
    <row r="74">
      <c r="B74" s="60"/>
      <c r="L74" s="61"/>
    </row>
    <row r="75">
      <c r="B75" s="60"/>
      <c r="L75" s="61"/>
    </row>
    <row r="76">
      <c r="B76" s="60"/>
      <c r="L76" s="61"/>
    </row>
    <row r="77">
      <c r="B77" s="60"/>
      <c r="L77" s="61"/>
    </row>
    <row r="78">
      <c r="B78" s="60"/>
      <c r="L78" s="61"/>
    </row>
    <row r="79">
      <c r="B79" s="60"/>
      <c r="L79" s="61"/>
    </row>
    <row r="80">
      <c r="B80" s="60"/>
      <c r="L80" s="61"/>
    </row>
    <row r="81">
      <c r="B81" s="60"/>
      <c r="L81" s="61"/>
    </row>
    <row r="82">
      <c r="B82" s="60"/>
      <c r="L82" s="61"/>
    </row>
    <row r="83">
      <c r="B83" s="60"/>
      <c r="L83" s="61"/>
    </row>
    <row r="84">
      <c r="B84" s="60"/>
      <c r="L84" s="61"/>
    </row>
    <row r="85">
      <c r="B85" s="60"/>
      <c r="L85" s="61"/>
    </row>
    <row r="86">
      <c r="B86" s="60"/>
      <c r="L86" s="61"/>
    </row>
    <row r="87">
      <c r="B87" s="60"/>
      <c r="L87" s="61"/>
    </row>
    <row r="88">
      <c r="B88" s="60"/>
      <c r="L88" s="61"/>
    </row>
    <row r="89">
      <c r="B89" s="60"/>
      <c r="L89" s="61"/>
    </row>
    <row r="90">
      <c r="B90" s="60"/>
      <c r="L90" s="61"/>
    </row>
    <row r="91">
      <c r="B91" s="60"/>
      <c r="L91" s="61"/>
    </row>
    <row r="92">
      <c r="B92" s="60"/>
      <c r="L92" s="61"/>
    </row>
    <row r="93">
      <c r="B93" s="60"/>
      <c r="L93" s="61"/>
    </row>
    <row r="94">
      <c r="B94" s="60"/>
      <c r="L94" s="61"/>
    </row>
    <row r="95">
      <c r="B95" s="60"/>
      <c r="L95" s="61"/>
    </row>
    <row r="96">
      <c r="B96" s="60"/>
      <c r="L96" s="61"/>
    </row>
    <row r="97">
      <c r="B97" s="60"/>
      <c r="L97" s="61"/>
    </row>
    <row r="98">
      <c r="B98" s="60"/>
      <c r="L98" s="61"/>
    </row>
    <row r="99">
      <c r="B99" s="60"/>
      <c r="L99" s="61"/>
    </row>
    <row r="100">
      <c r="B100" s="60"/>
      <c r="L100" s="61"/>
    </row>
    <row r="101">
      <c r="B101" s="60"/>
      <c r="L101" s="61"/>
    </row>
    <row r="102">
      <c r="B102" s="60"/>
      <c r="L102" s="61"/>
    </row>
    <row r="103">
      <c r="B103" s="60"/>
      <c r="L103" s="61"/>
    </row>
    <row r="104">
      <c r="B104" s="60"/>
      <c r="L104" s="61"/>
    </row>
    <row r="105">
      <c r="B105" s="60"/>
      <c r="L105" s="61"/>
    </row>
    <row r="106">
      <c r="B106" s="60"/>
      <c r="L106" s="61"/>
    </row>
    <row r="107">
      <c r="B107" s="60"/>
      <c r="L107" s="61"/>
    </row>
    <row r="108">
      <c r="B108" s="60"/>
      <c r="L108" s="61"/>
    </row>
    <row r="109">
      <c r="B109" s="60"/>
      <c r="L109" s="61"/>
    </row>
    <row r="110">
      <c r="B110" s="60"/>
      <c r="L110" s="61"/>
    </row>
    <row r="111">
      <c r="B111" s="60"/>
      <c r="L111" s="61"/>
    </row>
    <row r="112">
      <c r="B112" s="60"/>
      <c r="L112" s="61"/>
    </row>
    <row r="113">
      <c r="B113" s="60"/>
      <c r="L113" s="61"/>
    </row>
    <row r="114">
      <c r="B114" s="60"/>
      <c r="L114" s="61"/>
    </row>
    <row r="115">
      <c r="B115" s="60"/>
      <c r="L115" s="61"/>
    </row>
    <row r="116">
      <c r="B116" s="60"/>
      <c r="L116" s="61"/>
    </row>
    <row r="117">
      <c r="B117" s="60"/>
      <c r="L117" s="61"/>
    </row>
    <row r="118">
      <c r="B118" s="60"/>
      <c r="L118" s="61"/>
    </row>
    <row r="119">
      <c r="B119" s="60"/>
      <c r="L119" s="61"/>
    </row>
    <row r="120">
      <c r="B120" s="60"/>
      <c r="L120" s="61"/>
    </row>
    <row r="121">
      <c r="B121" s="60"/>
      <c r="L121" s="61"/>
    </row>
    <row r="122">
      <c r="B122" s="60"/>
      <c r="L122" s="61"/>
    </row>
    <row r="123">
      <c r="B123" s="60"/>
      <c r="L123" s="61"/>
    </row>
    <row r="124">
      <c r="B124" s="60"/>
      <c r="L124" s="61"/>
    </row>
    <row r="125">
      <c r="B125" s="60"/>
      <c r="L125" s="61"/>
    </row>
    <row r="126">
      <c r="B126" s="60"/>
      <c r="L126" s="61"/>
    </row>
    <row r="127">
      <c r="B127" s="60"/>
      <c r="L127" s="61"/>
    </row>
    <row r="128">
      <c r="B128" s="60"/>
      <c r="L128" s="61"/>
    </row>
    <row r="129">
      <c r="B129" s="60"/>
      <c r="L129" s="61"/>
    </row>
    <row r="130">
      <c r="B130" s="60"/>
      <c r="L130" s="61"/>
    </row>
    <row r="131">
      <c r="B131" s="60"/>
      <c r="L131" s="61"/>
    </row>
    <row r="132">
      <c r="B132" s="60"/>
      <c r="L132" s="61"/>
    </row>
    <row r="133">
      <c r="B133" s="60"/>
      <c r="L133" s="61"/>
    </row>
    <row r="134">
      <c r="B134" s="60"/>
      <c r="L134" s="61"/>
    </row>
    <row r="135">
      <c r="B135" s="60"/>
      <c r="L135" s="61"/>
    </row>
    <row r="136">
      <c r="B136" s="60"/>
      <c r="L136" s="61"/>
    </row>
    <row r="137">
      <c r="B137" s="60"/>
      <c r="L137" s="61"/>
    </row>
    <row r="138">
      <c r="B138" s="60"/>
      <c r="L138" s="61"/>
    </row>
    <row r="139">
      <c r="B139" s="60"/>
      <c r="L139" s="61"/>
    </row>
    <row r="140">
      <c r="B140" s="60"/>
      <c r="L140" s="61"/>
    </row>
    <row r="141">
      <c r="B141" s="60"/>
      <c r="L141" s="61"/>
    </row>
    <row r="142">
      <c r="B142" s="60"/>
      <c r="L142" s="61"/>
    </row>
    <row r="143">
      <c r="B143" s="60"/>
      <c r="L143" s="61"/>
    </row>
    <row r="144">
      <c r="B144" s="60"/>
      <c r="L144" s="61"/>
    </row>
    <row r="145">
      <c r="B145" s="60"/>
      <c r="L145" s="61"/>
    </row>
    <row r="146">
      <c r="B146" s="60"/>
      <c r="L146" s="61"/>
    </row>
    <row r="147">
      <c r="B147" s="60"/>
      <c r="L147" s="61"/>
    </row>
    <row r="148">
      <c r="B148" s="60"/>
      <c r="L148" s="61"/>
    </row>
    <row r="149">
      <c r="B149" s="60"/>
      <c r="L149" s="61"/>
    </row>
    <row r="150">
      <c r="B150" s="60"/>
      <c r="L150" s="61"/>
    </row>
    <row r="151">
      <c r="B151" s="60"/>
      <c r="L151" s="61"/>
    </row>
    <row r="152">
      <c r="B152" s="60"/>
      <c r="L152" s="61"/>
    </row>
    <row r="153">
      <c r="B153" s="60"/>
      <c r="L153" s="61"/>
    </row>
    <row r="154">
      <c r="B154" s="60"/>
      <c r="L154" s="61"/>
    </row>
    <row r="155">
      <c r="B155" s="60"/>
      <c r="L155" s="61"/>
    </row>
    <row r="156">
      <c r="B156" s="60"/>
      <c r="L156" s="61"/>
    </row>
    <row r="157">
      <c r="B157" s="60"/>
      <c r="L157" s="61"/>
    </row>
    <row r="158">
      <c r="B158" s="60"/>
      <c r="L158" s="61"/>
    </row>
    <row r="159">
      <c r="B159" s="60"/>
      <c r="L159" s="61"/>
    </row>
    <row r="160">
      <c r="B160" s="60"/>
      <c r="L160" s="61"/>
    </row>
    <row r="161">
      <c r="B161" s="60"/>
      <c r="L161" s="61"/>
    </row>
    <row r="162">
      <c r="B162" s="60"/>
      <c r="L162" s="61"/>
    </row>
    <row r="163">
      <c r="B163" s="60"/>
      <c r="L163" s="61"/>
    </row>
    <row r="164">
      <c r="B164" s="60"/>
      <c r="L164" s="61"/>
    </row>
    <row r="165">
      <c r="B165" s="60"/>
      <c r="L165" s="61"/>
    </row>
    <row r="166">
      <c r="B166" s="60"/>
      <c r="L166" s="61"/>
    </row>
    <row r="167">
      <c r="B167" s="60"/>
      <c r="L167" s="61"/>
    </row>
    <row r="168">
      <c r="B168" s="60"/>
      <c r="L168" s="61"/>
    </row>
    <row r="169">
      <c r="B169" s="60"/>
      <c r="L169" s="61"/>
    </row>
    <row r="170">
      <c r="B170" s="60"/>
      <c r="L170" s="61"/>
    </row>
    <row r="171">
      <c r="B171" s="60"/>
      <c r="L171" s="61"/>
    </row>
    <row r="172">
      <c r="B172" s="60"/>
      <c r="L172" s="61"/>
    </row>
    <row r="173">
      <c r="B173" s="60"/>
      <c r="L173" s="61"/>
    </row>
    <row r="174">
      <c r="B174" s="60"/>
      <c r="L174" s="61"/>
    </row>
    <row r="175">
      <c r="B175" s="60"/>
      <c r="L175" s="61"/>
    </row>
    <row r="176">
      <c r="B176" s="60"/>
      <c r="L176" s="61"/>
    </row>
    <row r="177">
      <c r="B177" s="60"/>
      <c r="L177" s="61"/>
    </row>
    <row r="178">
      <c r="B178" s="60"/>
      <c r="L178" s="61"/>
    </row>
    <row r="179">
      <c r="B179" s="60"/>
      <c r="L179" s="61"/>
    </row>
    <row r="180">
      <c r="B180" s="60"/>
      <c r="L180" s="61"/>
    </row>
    <row r="181">
      <c r="B181" s="60"/>
      <c r="L181" s="61"/>
    </row>
    <row r="182">
      <c r="B182" s="60"/>
      <c r="L182" s="61"/>
    </row>
    <row r="183">
      <c r="B183" s="60"/>
      <c r="L183" s="61"/>
    </row>
    <row r="184">
      <c r="B184" s="60"/>
      <c r="L184" s="61"/>
    </row>
    <row r="185">
      <c r="B185" s="60"/>
      <c r="L185" s="61"/>
    </row>
    <row r="186">
      <c r="B186" s="60"/>
      <c r="L186" s="61"/>
    </row>
    <row r="187">
      <c r="B187" s="60"/>
      <c r="L187" s="61"/>
    </row>
    <row r="188">
      <c r="B188" s="60"/>
      <c r="L188" s="61"/>
    </row>
    <row r="189">
      <c r="B189" s="60"/>
      <c r="L189" s="61"/>
    </row>
    <row r="190">
      <c r="B190" s="60"/>
      <c r="L190" s="61"/>
    </row>
    <row r="191">
      <c r="B191" s="60"/>
      <c r="L191" s="61"/>
    </row>
    <row r="192">
      <c r="B192" s="60"/>
      <c r="L192" s="61"/>
    </row>
    <row r="193">
      <c r="B193" s="60"/>
      <c r="L193" s="61"/>
    </row>
    <row r="194">
      <c r="B194" s="60"/>
      <c r="L194" s="61"/>
    </row>
    <row r="195">
      <c r="B195" s="60"/>
      <c r="L195" s="61"/>
    </row>
    <row r="196">
      <c r="B196" s="60"/>
      <c r="L196" s="61"/>
    </row>
    <row r="197">
      <c r="B197" s="60"/>
      <c r="L197" s="61"/>
    </row>
    <row r="198">
      <c r="B198" s="60"/>
      <c r="L198" s="61"/>
    </row>
    <row r="199">
      <c r="B199" s="60"/>
      <c r="L199" s="61"/>
    </row>
    <row r="200">
      <c r="B200" s="60"/>
      <c r="L200" s="61"/>
    </row>
    <row r="201">
      <c r="B201" s="60"/>
      <c r="L201" s="61"/>
    </row>
    <row r="202">
      <c r="B202" s="60"/>
      <c r="L202" s="61"/>
    </row>
    <row r="203">
      <c r="B203" s="60"/>
      <c r="L203" s="61"/>
    </row>
    <row r="204">
      <c r="B204" s="60"/>
      <c r="L204" s="61"/>
    </row>
    <row r="205">
      <c r="B205" s="60"/>
      <c r="L205" s="61"/>
    </row>
    <row r="206">
      <c r="B206" s="60"/>
      <c r="L206" s="61"/>
    </row>
    <row r="207">
      <c r="B207" s="60"/>
      <c r="L207" s="61"/>
    </row>
    <row r="208">
      <c r="B208" s="60"/>
      <c r="L208" s="61"/>
    </row>
    <row r="209">
      <c r="B209" s="60"/>
      <c r="L209" s="61"/>
    </row>
    <row r="210">
      <c r="B210" s="60"/>
      <c r="L210" s="61"/>
    </row>
    <row r="211">
      <c r="B211" s="60"/>
      <c r="L211" s="61"/>
    </row>
    <row r="212">
      <c r="B212" s="60"/>
      <c r="L212" s="61"/>
    </row>
    <row r="213">
      <c r="B213" s="60"/>
      <c r="L213" s="61"/>
    </row>
    <row r="214">
      <c r="B214" s="60"/>
      <c r="L214" s="61"/>
    </row>
    <row r="215">
      <c r="B215" s="60"/>
      <c r="L215" s="61"/>
    </row>
    <row r="216">
      <c r="B216" s="60"/>
      <c r="L216" s="61"/>
    </row>
    <row r="217">
      <c r="B217" s="60"/>
      <c r="L217" s="61"/>
    </row>
    <row r="218">
      <c r="B218" s="60"/>
      <c r="L218" s="61"/>
    </row>
    <row r="219">
      <c r="B219" s="60"/>
      <c r="L219" s="61"/>
    </row>
    <row r="220">
      <c r="B220" s="60"/>
      <c r="L220" s="61"/>
    </row>
    <row r="221">
      <c r="B221" s="60"/>
      <c r="L221" s="61"/>
    </row>
    <row r="222">
      <c r="B222" s="60"/>
      <c r="L222" s="61"/>
    </row>
    <row r="223">
      <c r="B223" s="60"/>
      <c r="L223" s="61"/>
    </row>
    <row r="224">
      <c r="B224" s="60"/>
      <c r="L224" s="61"/>
    </row>
    <row r="225">
      <c r="B225" s="60"/>
      <c r="L225" s="61"/>
    </row>
    <row r="226">
      <c r="B226" s="60"/>
      <c r="L226" s="61"/>
    </row>
    <row r="227">
      <c r="B227" s="60"/>
      <c r="L227" s="61"/>
    </row>
    <row r="228">
      <c r="B228" s="60"/>
      <c r="L228" s="61"/>
    </row>
    <row r="229">
      <c r="B229" s="60"/>
      <c r="L229" s="61"/>
    </row>
    <row r="230">
      <c r="B230" s="60"/>
      <c r="L230" s="61"/>
    </row>
    <row r="231">
      <c r="B231" s="60"/>
      <c r="L231" s="61"/>
    </row>
    <row r="232">
      <c r="B232" s="60"/>
      <c r="L232" s="61"/>
    </row>
    <row r="233">
      <c r="B233" s="60"/>
      <c r="L233" s="61"/>
    </row>
    <row r="234">
      <c r="B234" s="60"/>
      <c r="L234" s="61"/>
    </row>
    <row r="235">
      <c r="B235" s="60"/>
      <c r="L235" s="61"/>
    </row>
    <row r="236">
      <c r="B236" s="60"/>
      <c r="L236" s="61"/>
    </row>
    <row r="237">
      <c r="B237" s="60"/>
      <c r="L237" s="61"/>
    </row>
    <row r="238">
      <c r="B238" s="60"/>
      <c r="L238" s="61"/>
    </row>
    <row r="239">
      <c r="B239" s="60"/>
      <c r="L239" s="61"/>
    </row>
    <row r="240">
      <c r="B240" s="60"/>
      <c r="L240" s="61"/>
    </row>
    <row r="241">
      <c r="B241" s="60"/>
      <c r="L241" s="61"/>
    </row>
    <row r="242">
      <c r="B242" s="60"/>
      <c r="L242" s="61"/>
    </row>
    <row r="243">
      <c r="B243" s="60"/>
      <c r="L243" s="61"/>
    </row>
    <row r="244">
      <c r="B244" s="60"/>
      <c r="L244" s="61"/>
    </row>
    <row r="245">
      <c r="B245" s="60"/>
      <c r="L245" s="61"/>
    </row>
    <row r="246">
      <c r="B246" s="60"/>
      <c r="L246" s="61"/>
    </row>
    <row r="247">
      <c r="B247" s="60"/>
      <c r="L247" s="61"/>
    </row>
    <row r="248">
      <c r="B248" s="60"/>
      <c r="L248" s="61"/>
    </row>
    <row r="249">
      <c r="B249" s="60"/>
      <c r="L249" s="61"/>
    </row>
    <row r="250">
      <c r="B250" s="60"/>
      <c r="L250" s="61"/>
    </row>
    <row r="251">
      <c r="B251" s="60"/>
      <c r="L251" s="61"/>
    </row>
    <row r="252">
      <c r="B252" s="60"/>
      <c r="L252" s="61"/>
    </row>
    <row r="253">
      <c r="B253" s="60"/>
      <c r="L253" s="61"/>
    </row>
    <row r="254">
      <c r="B254" s="60"/>
      <c r="L254" s="61"/>
    </row>
    <row r="255">
      <c r="B255" s="60"/>
      <c r="L255" s="61"/>
    </row>
    <row r="256">
      <c r="B256" s="60"/>
      <c r="L256" s="61"/>
    </row>
    <row r="257">
      <c r="B257" s="60"/>
      <c r="L257" s="61"/>
    </row>
    <row r="258">
      <c r="B258" s="60"/>
      <c r="L258" s="61"/>
    </row>
    <row r="259">
      <c r="B259" s="60"/>
      <c r="L259" s="61"/>
    </row>
    <row r="260">
      <c r="B260" s="60"/>
      <c r="L260" s="61"/>
    </row>
    <row r="261">
      <c r="B261" s="60"/>
      <c r="L261" s="61"/>
    </row>
    <row r="262">
      <c r="B262" s="60"/>
      <c r="L262" s="61"/>
    </row>
    <row r="263">
      <c r="B263" s="60"/>
      <c r="L263" s="61"/>
    </row>
    <row r="264">
      <c r="B264" s="60"/>
      <c r="L264" s="61"/>
    </row>
    <row r="265">
      <c r="B265" s="60"/>
      <c r="L265" s="61"/>
    </row>
    <row r="266">
      <c r="B266" s="60"/>
      <c r="L266" s="61"/>
    </row>
    <row r="267">
      <c r="B267" s="60"/>
      <c r="L267" s="61"/>
    </row>
    <row r="268">
      <c r="B268" s="60"/>
      <c r="L268" s="61"/>
    </row>
    <row r="269">
      <c r="B269" s="60"/>
      <c r="L269" s="61"/>
    </row>
    <row r="270">
      <c r="B270" s="60"/>
      <c r="L270" s="61"/>
    </row>
    <row r="271">
      <c r="B271" s="60"/>
      <c r="L271" s="61"/>
    </row>
    <row r="272">
      <c r="B272" s="60"/>
      <c r="L272" s="61"/>
    </row>
    <row r="273">
      <c r="B273" s="60"/>
      <c r="L273" s="61"/>
    </row>
    <row r="274">
      <c r="B274" s="60"/>
      <c r="L274" s="61"/>
    </row>
    <row r="275">
      <c r="B275" s="60"/>
      <c r="L275" s="61"/>
    </row>
    <row r="276">
      <c r="B276" s="60"/>
      <c r="L276" s="61"/>
    </row>
    <row r="277">
      <c r="B277" s="60"/>
      <c r="L277" s="61"/>
    </row>
    <row r="278">
      <c r="B278" s="60"/>
      <c r="L278" s="61"/>
    </row>
    <row r="279">
      <c r="B279" s="60"/>
      <c r="L279" s="61"/>
    </row>
    <row r="280">
      <c r="B280" s="60"/>
      <c r="L280" s="61"/>
    </row>
    <row r="281">
      <c r="B281" s="60"/>
      <c r="L281" s="61"/>
    </row>
    <row r="282">
      <c r="B282" s="60"/>
      <c r="L282" s="61"/>
    </row>
    <row r="283">
      <c r="B283" s="60"/>
      <c r="L283" s="61"/>
    </row>
    <row r="284">
      <c r="B284" s="60"/>
      <c r="L284" s="61"/>
    </row>
    <row r="285">
      <c r="B285" s="60"/>
      <c r="L285" s="61"/>
    </row>
    <row r="286">
      <c r="B286" s="60"/>
      <c r="L286" s="61"/>
    </row>
    <row r="287">
      <c r="B287" s="60"/>
      <c r="L287" s="61"/>
    </row>
    <row r="288">
      <c r="B288" s="60"/>
      <c r="L288" s="61"/>
    </row>
    <row r="289">
      <c r="B289" s="60"/>
      <c r="L289" s="61"/>
    </row>
    <row r="290">
      <c r="B290" s="60"/>
      <c r="L290" s="61"/>
    </row>
    <row r="291">
      <c r="B291" s="60"/>
      <c r="L291" s="61"/>
    </row>
    <row r="292">
      <c r="B292" s="60"/>
      <c r="L292" s="61"/>
    </row>
    <row r="293">
      <c r="B293" s="60"/>
      <c r="L293" s="61"/>
    </row>
    <row r="294">
      <c r="B294" s="60"/>
      <c r="L294" s="61"/>
    </row>
    <row r="295">
      <c r="B295" s="60"/>
      <c r="L295" s="61"/>
    </row>
    <row r="296">
      <c r="B296" s="60"/>
      <c r="L296" s="61"/>
    </row>
    <row r="297">
      <c r="B297" s="60"/>
      <c r="L297" s="61"/>
    </row>
    <row r="298">
      <c r="B298" s="60"/>
      <c r="L298" s="61"/>
    </row>
    <row r="299">
      <c r="B299" s="60"/>
      <c r="L299" s="61"/>
    </row>
    <row r="300">
      <c r="B300" s="60"/>
      <c r="L300" s="61"/>
    </row>
    <row r="301">
      <c r="B301" s="60"/>
      <c r="L301" s="61"/>
    </row>
    <row r="302">
      <c r="B302" s="60"/>
      <c r="L302" s="61"/>
    </row>
    <row r="303">
      <c r="B303" s="60"/>
      <c r="L303" s="61"/>
    </row>
    <row r="304">
      <c r="B304" s="60"/>
      <c r="L304" s="61"/>
    </row>
    <row r="305">
      <c r="B305" s="60"/>
      <c r="L305" s="61"/>
    </row>
    <row r="306">
      <c r="B306" s="60"/>
      <c r="L306" s="61"/>
    </row>
    <row r="307">
      <c r="B307" s="60"/>
      <c r="L307" s="61"/>
    </row>
    <row r="308">
      <c r="B308" s="60"/>
      <c r="L308" s="61"/>
    </row>
    <row r="309">
      <c r="B309" s="60"/>
      <c r="L309" s="61"/>
    </row>
    <row r="310">
      <c r="B310" s="60"/>
      <c r="L310" s="61"/>
    </row>
    <row r="311">
      <c r="B311" s="60"/>
      <c r="L311" s="61"/>
    </row>
    <row r="312">
      <c r="B312" s="60"/>
      <c r="L312" s="61"/>
    </row>
    <row r="313">
      <c r="B313" s="60"/>
      <c r="L313" s="61"/>
    </row>
    <row r="314">
      <c r="B314" s="60"/>
      <c r="L314" s="61"/>
    </row>
    <row r="315">
      <c r="B315" s="60"/>
      <c r="L315" s="61"/>
    </row>
    <row r="316">
      <c r="B316" s="60"/>
      <c r="L316" s="61"/>
    </row>
    <row r="317">
      <c r="B317" s="60"/>
      <c r="L317" s="61"/>
    </row>
    <row r="318">
      <c r="B318" s="60"/>
      <c r="L318" s="61"/>
    </row>
    <row r="319">
      <c r="B319" s="60"/>
      <c r="L319" s="61"/>
    </row>
    <row r="320">
      <c r="B320" s="60"/>
      <c r="L320" s="61"/>
    </row>
    <row r="321">
      <c r="B321" s="60"/>
      <c r="L321" s="61"/>
    </row>
    <row r="322">
      <c r="B322" s="60"/>
      <c r="L322" s="61"/>
    </row>
    <row r="323">
      <c r="B323" s="60"/>
      <c r="L323" s="61"/>
    </row>
    <row r="324">
      <c r="B324" s="60"/>
      <c r="L324" s="61"/>
    </row>
    <row r="325">
      <c r="B325" s="60"/>
      <c r="L325" s="61"/>
    </row>
    <row r="326">
      <c r="B326" s="60"/>
      <c r="L326" s="61"/>
    </row>
    <row r="327">
      <c r="B327" s="60"/>
      <c r="L327" s="61"/>
    </row>
    <row r="328">
      <c r="B328" s="60"/>
      <c r="L328" s="61"/>
    </row>
    <row r="329">
      <c r="B329" s="60"/>
      <c r="L329" s="61"/>
    </row>
    <row r="330">
      <c r="B330" s="60"/>
      <c r="L330" s="61"/>
    </row>
    <row r="331">
      <c r="B331" s="60"/>
      <c r="L331" s="61"/>
    </row>
    <row r="332">
      <c r="B332" s="60"/>
      <c r="L332" s="61"/>
    </row>
    <row r="333">
      <c r="B333" s="60"/>
      <c r="L333" s="61"/>
    </row>
    <row r="334">
      <c r="B334" s="60"/>
      <c r="L334" s="61"/>
    </row>
    <row r="335">
      <c r="B335" s="60"/>
      <c r="L335" s="61"/>
    </row>
    <row r="336">
      <c r="B336" s="60"/>
      <c r="L336" s="61"/>
    </row>
    <row r="337">
      <c r="B337" s="60"/>
      <c r="L337" s="61"/>
    </row>
    <row r="338">
      <c r="B338" s="60"/>
      <c r="L338" s="61"/>
    </row>
    <row r="339">
      <c r="B339" s="60"/>
      <c r="L339" s="61"/>
    </row>
    <row r="340">
      <c r="B340" s="60"/>
      <c r="L340" s="61"/>
    </row>
    <row r="341">
      <c r="B341" s="60"/>
      <c r="L341" s="61"/>
    </row>
    <row r="342">
      <c r="B342" s="60"/>
      <c r="L342" s="61"/>
    </row>
    <row r="343">
      <c r="B343" s="60"/>
      <c r="L343" s="61"/>
    </row>
    <row r="344">
      <c r="B344" s="60"/>
      <c r="L344" s="61"/>
    </row>
    <row r="345">
      <c r="B345" s="60"/>
      <c r="L345" s="61"/>
    </row>
    <row r="346">
      <c r="B346" s="60"/>
      <c r="L346" s="61"/>
    </row>
    <row r="347">
      <c r="B347" s="60"/>
      <c r="L347" s="61"/>
    </row>
    <row r="348">
      <c r="B348" s="60"/>
      <c r="L348" s="61"/>
    </row>
    <row r="349">
      <c r="B349" s="60"/>
      <c r="L349" s="61"/>
    </row>
    <row r="350">
      <c r="B350" s="60"/>
      <c r="L350" s="61"/>
    </row>
    <row r="351">
      <c r="B351" s="60"/>
      <c r="L351" s="61"/>
    </row>
    <row r="352">
      <c r="B352" s="60"/>
      <c r="L352" s="61"/>
    </row>
    <row r="353">
      <c r="B353" s="60"/>
      <c r="L353" s="61"/>
    </row>
    <row r="354">
      <c r="B354" s="60"/>
      <c r="L354" s="61"/>
    </row>
    <row r="355">
      <c r="B355" s="60"/>
      <c r="L355" s="61"/>
    </row>
    <row r="356">
      <c r="B356" s="60"/>
      <c r="L356" s="61"/>
    </row>
    <row r="357">
      <c r="B357" s="60"/>
      <c r="L357" s="61"/>
    </row>
    <row r="358">
      <c r="B358" s="60"/>
      <c r="L358" s="61"/>
    </row>
    <row r="359">
      <c r="B359" s="60"/>
      <c r="L359" s="61"/>
    </row>
    <row r="360">
      <c r="B360" s="60"/>
      <c r="L360" s="61"/>
    </row>
    <row r="361">
      <c r="B361" s="60"/>
      <c r="L361" s="61"/>
    </row>
    <row r="362">
      <c r="B362" s="60"/>
      <c r="L362" s="61"/>
    </row>
    <row r="363">
      <c r="B363" s="60"/>
      <c r="L363" s="61"/>
    </row>
    <row r="364">
      <c r="B364" s="60"/>
      <c r="L364" s="61"/>
    </row>
    <row r="365">
      <c r="B365" s="60"/>
      <c r="L365" s="61"/>
    </row>
    <row r="366">
      <c r="B366" s="60"/>
      <c r="L366" s="61"/>
    </row>
    <row r="367">
      <c r="B367" s="60"/>
      <c r="L367" s="61"/>
    </row>
    <row r="368">
      <c r="B368" s="60"/>
      <c r="L368" s="61"/>
    </row>
    <row r="369">
      <c r="B369" s="60"/>
      <c r="L369" s="61"/>
    </row>
    <row r="370">
      <c r="B370" s="60"/>
      <c r="L370" s="61"/>
    </row>
    <row r="371">
      <c r="B371" s="60"/>
      <c r="L371" s="61"/>
    </row>
    <row r="372">
      <c r="B372" s="60"/>
      <c r="L372" s="61"/>
    </row>
    <row r="373">
      <c r="B373" s="60"/>
      <c r="L373" s="61"/>
    </row>
    <row r="374">
      <c r="B374" s="60"/>
      <c r="L374" s="61"/>
    </row>
    <row r="375">
      <c r="B375" s="60"/>
      <c r="L375" s="61"/>
    </row>
    <row r="376">
      <c r="B376" s="60"/>
      <c r="L376" s="61"/>
    </row>
    <row r="377">
      <c r="B377" s="60"/>
      <c r="L377" s="61"/>
    </row>
    <row r="378">
      <c r="B378" s="60"/>
      <c r="L378" s="61"/>
    </row>
    <row r="379">
      <c r="B379" s="60"/>
      <c r="L379" s="61"/>
    </row>
    <row r="380">
      <c r="B380" s="60"/>
      <c r="L380" s="61"/>
    </row>
    <row r="381">
      <c r="B381" s="60"/>
      <c r="L381" s="61"/>
    </row>
    <row r="382">
      <c r="B382" s="60"/>
      <c r="L382" s="61"/>
    </row>
    <row r="383">
      <c r="B383" s="60"/>
      <c r="L383" s="61"/>
    </row>
    <row r="384">
      <c r="B384" s="60"/>
      <c r="L384" s="61"/>
    </row>
    <row r="385">
      <c r="B385" s="60"/>
      <c r="L385" s="61"/>
    </row>
    <row r="386">
      <c r="B386" s="60"/>
      <c r="L386" s="61"/>
    </row>
    <row r="387">
      <c r="B387" s="60"/>
      <c r="L387" s="61"/>
    </row>
    <row r="388">
      <c r="B388" s="60"/>
      <c r="L388" s="61"/>
    </row>
    <row r="389">
      <c r="B389" s="60"/>
      <c r="L389" s="61"/>
    </row>
    <row r="390">
      <c r="B390" s="60"/>
      <c r="L390" s="61"/>
    </row>
    <row r="391">
      <c r="B391" s="60"/>
      <c r="L391" s="61"/>
    </row>
    <row r="392">
      <c r="B392" s="60"/>
      <c r="L392" s="61"/>
    </row>
    <row r="393">
      <c r="B393" s="60"/>
      <c r="L393" s="61"/>
    </row>
    <row r="394">
      <c r="B394" s="60"/>
      <c r="L394" s="61"/>
    </row>
    <row r="395">
      <c r="B395" s="60"/>
      <c r="L395" s="61"/>
    </row>
    <row r="396">
      <c r="B396" s="60"/>
      <c r="L396" s="61"/>
    </row>
    <row r="397">
      <c r="B397" s="60"/>
      <c r="L397" s="61"/>
    </row>
    <row r="398">
      <c r="B398" s="60"/>
      <c r="L398" s="61"/>
    </row>
    <row r="399">
      <c r="B399" s="60"/>
      <c r="L399" s="61"/>
    </row>
    <row r="400">
      <c r="B400" s="60"/>
      <c r="L400" s="61"/>
    </row>
    <row r="401">
      <c r="B401" s="60"/>
      <c r="L401" s="61"/>
    </row>
    <row r="402">
      <c r="B402" s="60"/>
      <c r="L402" s="61"/>
    </row>
    <row r="403">
      <c r="B403" s="60"/>
      <c r="L403" s="61"/>
    </row>
    <row r="404">
      <c r="B404" s="60"/>
      <c r="L404" s="61"/>
    </row>
    <row r="405">
      <c r="B405" s="60"/>
      <c r="L405" s="61"/>
    </row>
    <row r="406">
      <c r="B406" s="60"/>
      <c r="L406" s="61"/>
    </row>
    <row r="407">
      <c r="B407" s="60"/>
      <c r="L407" s="61"/>
    </row>
    <row r="408">
      <c r="B408" s="60"/>
      <c r="L408" s="61"/>
    </row>
    <row r="409">
      <c r="B409" s="60"/>
      <c r="L409" s="61"/>
    </row>
    <row r="410">
      <c r="B410" s="60"/>
      <c r="L410" s="61"/>
    </row>
    <row r="411">
      <c r="B411" s="60"/>
      <c r="L411" s="61"/>
    </row>
    <row r="412">
      <c r="B412" s="60"/>
      <c r="L412" s="61"/>
    </row>
    <row r="413">
      <c r="B413" s="60"/>
      <c r="L413" s="61"/>
    </row>
    <row r="414">
      <c r="B414" s="60"/>
      <c r="L414" s="61"/>
    </row>
    <row r="415">
      <c r="B415" s="60"/>
      <c r="L415" s="61"/>
    </row>
    <row r="416">
      <c r="B416" s="60"/>
      <c r="L416" s="61"/>
    </row>
    <row r="417">
      <c r="B417" s="60"/>
      <c r="L417" s="61"/>
    </row>
    <row r="418">
      <c r="B418" s="60"/>
      <c r="L418" s="61"/>
    </row>
    <row r="419">
      <c r="B419" s="60"/>
      <c r="L419" s="61"/>
    </row>
    <row r="420">
      <c r="B420" s="60"/>
      <c r="L420" s="61"/>
    </row>
    <row r="421">
      <c r="B421" s="60"/>
      <c r="L421" s="61"/>
    </row>
    <row r="422">
      <c r="B422" s="60"/>
      <c r="L422" s="61"/>
    </row>
    <row r="423">
      <c r="B423" s="60"/>
      <c r="L423" s="61"/>
    </row>
    <row r="424">
      <c r="B424" s="60"/>
      <c r="L424" s="61"/>
    </row>
    <row r="425">
      <c r="B425" s="60"/>
      <c r="L425" s="61"/>
    </row>
    <row r="426">
      <c r="B426" s="60"/>
      <c r="L426" s="61"/>
    </row>
    <row r="427">
      <c r="B427" s="60"/>
      <c r="L427" s="61"/>
    </row>
    <row r="428">
      <c r="B428" s="60"/>
      <c r="L428" s="61"/>
    </row>
    <row r="429">
      <c r="B429" s="60"/>
      <c r="L429" s="61"/>
    </row>
    <row r="430">
      <c r="B430" s="60"/>
      <c r="L430" s="61"/>
    </row>
    <row r="431">
      <c r="B431" s="60"/>
      <c r="L431" s="61"/>
    </row>
    <row r="432">
      <c r="B432" s="60"/>
      <c r="L432" s="61"/>
    </row>
    <row r="433">
      <c r="B433" s="60"/>
      <c r="L433" s="61"/>
    </row>
    <row r="434">
      <c r="B434" s="60"/>
      <c r="L434" s="61"/>
    </row>
    <row r="435">
      <c r="B435" s="60"/>
      <c r="L435" s="61"/>
    </row>
    <row r="436">
      <c r="B436" s="60"/>
      <c r="L436" s="61"/>
    </row>
    <row r="437">
      <c r="B437" s="60"/>
      <c r="L437" s="61"/>
    </row>
    <row r="438">
      <c r="B438" s="60"/>
      <c r="L438" s="61"/>
    </row>
    <row r="439">
      <c r="B439" s="60"/>
      <c r="L439" s="61"/>
    </row>
    <row r="440">
      <c r="B440" s="60"/>
      <c r="L440" s="61"/>
    </row>
    <row r="441">
      <c r="B441" s="60"/>
      <c r="L441" s="61"/>
    </row>
    <row r="442">
      <c r="B442" s="60"/>
      <c r="L442" s="61"/>
    </row>
    <row r="443">
      <c r="B443" s="60"/>
      <c r="L443" s="61"/>
    </row>
    <row r="444">
      <c r="B444" s="60"/>
      <c r="L444" s="61"/>
    </row>
    <row r="445">
      <c r="B445" s="60"/>
      <c r="L445" s="61"/>
    </row>
    <row r="446">
      <c r="B446" s="60"/>
      <c r="L446" s="61"/>
    </row>
    <row r="447">
      <c r="B447" s="60"/>
      <c r="L447" s="61"/>
    </row>
    <row r="448">
      <c r="B448" s="60"/>
      <c r="L448" s="61"/>
    </row>
    <row r="449">
      <c r="B449" s="60"/>
      <c r="L449" s="61"/>
    </row>
    <row r="450">
      <c r="B450" s="60"/>
      <c r="L450" s="61"/>
    </row>
    <row r="451">
      <c r="B451" s="60"/>
      <c r="L451" s="61"/>
    </row>
    <row r="452">
      <c r="B452" s="60"/>
      <c r="L452" s="61"/>
    </row>
    <row r="453">
      <c r="B453" s="60"/>
      <c r="L453" s="61"/>
    </row>
    <row r="454">
      <c r="B454" s="60"/>
      <c r="L454" s="61"/>
    </row>
    <row r="455">
      <c r="B455" s="60"/>
      <c r="L455" s="61"/>
    </row>
    <row r="456">
      <c r="B456" s="60"/>
      <c r="L456" s="61"/>
    </row>
    <row r="457">
      <c r="B457" s="60"/>
      <c r="L457" s="61"/>
    </row>
    <row r="458">
      <c r="B458" s="60"/>
      <c r="L458" s="61"/>
    </row>
    <row r="459">
      <c r="B459" s="60"/>
      <c r="L459" s="61"/>
    </row>
    <row r="460">
      <c r="B460" s="60"/>
      <c r="L460" s="61"/>
    </row>
    <row r="461">
      <c r="B461" s="60"/>
      <c r="L461" s="61"/>
    </row>
    <row r="462">
      <c r="B462" s="60"/>
      <c r="L462" s="61"/>
    </row>
    <row r="463">
      <c r="B463" s="60"/>
      <c r="L463" s="61"/>
    </row>
    <row r="464">
      <c r="B464" s="60"/>
      <c r="L464" s="61"/>
    </row>
    <row r="465">
      <c r="B465" s="60"/>
      <c r="L465" s="61"/>
    </row>
    <row r="466">
      <c r="B466" s="60"/>
      <c r="L466" s="61"/>
    </row>
    <row r="467">
      <c r="B467" s="60"/>
      <c r="L467" s="61"/>
    </row>
    <row r="468">
      <c r="B468" s="60"/>
      <c r="L468" s="61"/>
    </row>
    <row r="469">
      <c r="B469" s="60"/>
      <c r="L469" s="61"/>
    </row>
    <row r="470">
      <c r="B470" s="60"/>
      <c r="L470" s="61"/>
    </row>
    <row r="471">
      <c r="B471" s="60"/>
      <c r="L471" s="61"/>
    </row>
    <row r="472">
      <c r="B472" s="60"/>
      <c r="L472" s="61"/>
    </row>
    <row r="473">
      <c r="B473" s="60"/>
      <c r="L473" s="61"/>
    </row>
    <row r="474">
      <c r="B474" s="60"/>
      <c r="L474" s="61"/>
    </row>
    <row r="475">
      <c r="B475" s="60"/>
      <c r="L475" s="61"/>
    </row>
    <row r="476">
      <c r="B476" s="60"/>
      <c r="L476" s="61"/>
    </row>
    <row r="477">
      <c r="B477" s="60"/>
      <c r="L477" s="61"/>
    </row>
    <row r="478">
      <c r="B478" s="60"/>
      <c r="L478" s="61"/>
    </row>
    <row r="479">
      <c r="B479" s="60"/>
      <c r="L479" s="61"/>
    </row>
    <row r="480">
      <c r="B480" s="60"/>
      <c r="L480" s="61"/>
    </row>
    <row r="481">
      <c r="B481" s="60"/>
      <c r="L481" s="61"/>
    </row>
    <row r="482">
      <c r="B482" s="60"/>
      <c r="L482" s="61"/>
    </row>
    <row r="483">
      <c r="B483" s="60"/>
      <c r="L483" s="61"/>
    </row>
    <row r="484">
      <c r="B484" s="60"/>
      <c r="L484" s="61"/>
    </row>
    <row r="485">
      <c r="B485" s="60"/>
      <c r="L485" s="61"/>
    </row>
    <row r="486">
      <c r="B486" s="60"/>
      <c r="L486" s="61"/>
    </row>
    <row r="487">
      <c r="B487" s="60"/>
      <c r="L487" s="61"/>
    </row>
    <row r="488">
      <c r="B488" s="60"/>
      <c r="L488" s="61"/>
    </row>
    <row r="489">
      <c r="B489" s="60"/>
      <c r="L489" s="61"/>
    </row>
    <row r="490">
      <c r="B490" s="60"/>
      <c r="L490" s="61"/>
    </row>
    <row r="491">
      <c r="B491" s="60"/>
      <c r="L491" s="61"/>
    </row>
    <row r="492">
      <c r="B492" s="60"/>
      <c r="L492" s="61"/>
    </row>
    <row r="493">
      <c r="B493" s="60"/>
      <c r="L493" s="61"/>
    </row>
    <row r="494">
      <c r="B494" s="60"/>
      <c r="L494" s="61"/>
    </row>
    <row r="495">
      <c r="B495" s="60"/>
      <c r="L495" s="61"/>
    </row>
    <row r="496">
      <c r="B496" s="60"/>
      <c r="L496" s="61"/>
    </row>
    <row r="497">
      <c r="B497" s="60"/>
      <c r="L497" s="61"/>
    </row>
    <row r="498">
      <c r="B498" s="60"/>
      <c r="L498" s="61"/>
    </row>
    <row r="499">
      <c r="B499" s="60"/>
      <c r="L499" s="61"/>
    </row>
    <row r="500">
      <c r="B500" s="60"/>
      <c r="L500" s="61"/>
    </row>
    <row r="501">
      <c r="B501" s="60"/>
      <c r="L501" s="61"/>
    </row>
    <row r="502">
      <c r="B502" s="60"/>
      <c r="L502" s="61"/>
    </row>
    <row r="503">
      <c r="B503" s="60"/>
      <c r="L503" s="61"/>
    </row>
    <row r="504">
      <c r="B504" s="60"/>
      <c r="L504" s="61"/>
    </row>
    <row r="505">
      <c r="B505" s="60"/>
      <c r="L505" s="61"/>
    </row>
    <row r="506">
      <c r="B506" s="60"/>
      <c r="L506" s="61"/>
    </row>
    <row r="507">
      <c r="B507" s="60"/>
      <c r="L507" s="61"/>
    </row>
    <row r="508">
      <c r="B508" s="60"/>
      <c r="L508" s="61"/>
    </row>
    <row r="509">
      <c r="B509" s="60"/>
      <c r="L509" s="61"/>
    </row>
    <row r="510">
      <c r="B510" s="60"/>
      <c r="L510" s="61"/>
    </row>
    <row r="511">
      <c r="B511" s="60"/>
      <c r="L511" s="61"/>
    </row>
    <row r="512">
      <c r="B512" s="60"/>
      <c r="L512" s="61"/>
    </row>
    <row r="513">
      <c r="B513" s="60"/>
      <c r="L513" s="61"/>
    </row>
    <row r="514">
      <c r="B514" s="60"/>
      <c r="L514" s="61"/>
    </row>
    <row r="515">
      <c r="B515" s="60"/>
      <c r="L515" s="61"/>
    </row>
    <row r="516">
      <c r="B516" s="60"/>
      <c r="L516" s="61"/>
    </row>
    <row r="517">
      <c r="B517" s="60"/>
      <c r="L517" s="61"/>
    </row>
    <row r="518">
      <c r="B518" s="60"/>
      <c r="L518" s="61"/>
    </row>
    <row r="519">
      <c r="B519" s="60"/>
      <c r="L519" s="61"/>
    </row>
    <row r="520">
      <c r="B520" s="60"/>
      <c r="L520" s="61"/>
    </row>
    <row r="521">
      <c r="B521" s="60"/>
      <c r="L521" s="61"/>
    </row>
    <row r="522">
      <c r="B522" s="60"/>
      <c r="L522" s="61"/>
    </row>
    <row r="523">
      <c r="B523" s="60"/>
      <c r="L523" s="61"/>
    </row>
    <row r="524">
      <c r="B524" s="60"/>
      <c r="L524" s="61"/>
    </row>
    <row r="525">
      <c r="B525" s="60"/>
      <c r="L525" s="61"/>
    </row>
    <row r="526">
      <c r="B526" s="60"/>
      <c r="L526" s="61"/>
    </row>
    <row r="527">
      <c r="B527" s="60"/>
      <c r="L527" s="61"/>
    </row>
    <row r="528">
      <c r="B528" s="60"/>
      <c r="L528" s="61"/>
    </row>
    <row r="529">
      <c r="B529" s="60"/>
      <c r="L529" s="61"/>
    </row>
    <row r="530">
      <c r="B530" s="60"/>
      <c r="L530" s="61"/>
    </row>
    <row r="531">
      <c r="B531" s="60"/>
      <c r="L531" s="61"/>
    </row>
    <row r="532">
      <c r="B532" s="60"/>
      <c r="L532" s="61"/>
    </row>
    <row r="533">
      <c r="B533" s="60"/>
      <c r="L533" s="61"/>
    </row>
    <row r="534">
      <c r="B534" s="60"/>
      <c r="L534" s="61"/>
    </row>
    <row r="535">
      <c r="B535" s="60"/>
      <c r="L535" s="61"/>
    </row>
    <row r="536">
      <c r="B536" s="60"/>
      <c r="L536" s="61"/>
    </row>
    <row r="537">
      <c r="B537" s="60"/>
      <c r="L537" s="61"/>
    </row>
    <row r="538">
      <c r="B538" s="60"/>
      <c r="L538" s="61"/>
    </row>
    <row r="539">
      <c r="B539" s="60"/>
      <c r="L539" s="61"/>
    </row>
    <row r="540">
      <c r="B540" s="60"/>
      <c r="L540" s="61"/>
    </row>
    <row r="541">
      <c r="B541" s="60"/>
      <c r="L541" s="61"/>
    </row>
    <row r="542">
      <c r="B542" s="60"/>
      <c r="L542" s="61"/>
    </row>
    <row r="543">
      <c r="B543" s="60"/>
      <c r="L543" s="61"/>
    </row>
    <row r="544">
      <c r="B544" s="60"/>
      <c r="L544" s="61"/>
    </row>
    <row r="545">
      <c r="B545" s="60"/>
      <c r="L545" s="61"/>
    </row>
    <row r="546">
      <c r="B546" s="60"/>
      <c r="L546" s="61"/>
    </row>
    <row r="547">
      <c r="B547" s="60"/>
      <c r="L547" s="61"/>
    </row>
    <row r="548">
      <c r="B548" s="60"/>
      <c r="L548" s="61"/>
    </row>
    <row r="549">
      <c r="B549" s="60"/>
      <c r="L549" s="61"/>
    </row>
    <row r="550">
      <c r="B550" s="60"/>
      <c r="L550" s="61"/>
    </row>
    <row r="551">
      <c r="B551" s="60"/>
      <c r="L551" s="61"/>
    </row>
    <row r="552">
      <c r="B552" s="60"/>
      <c r="L552" s="61"/>
    </row>
    <row r="553">
      <c r="B553" s="60"/>
      <c r="L553" s="61"/>
    </row>
    <row r="554">
      <c r="B554" s="60"/>
      <c r="L554" s="61"/>
    </row>
    <row r="555">
      <c r="B555" s="60"/>
      <c r="L555" s="61"/>
    </row>
    <row r="556">
      <c r="B556" s="60"/>
      <c r="L556" s="61"/>
    </row>
    <row r="557">
      <c r="B557" s="60"/>
      <c r="L557" s="61"/>
    </row>
    <row r="558">
      <c r="B558" s="60"/>
      <c r="L558" s="61"/>
    </row>
    <row r="559">
      <c r="B559" s="60"/>
      <c r="L559" s="61"/>
    </row>
    <row r="560">
      <c r="B560" s="60"/>
      <c r="L560" s="61"/>
    </row>
    <row r="561">
      <c r="B561" s="60"/>
      <c r="L561" s="61"/>
    </row>
    <row r="562">
      <c r="B562" s="60"/>
      <c r="L562" s="61"/>
    </row>
    <row r="563">
      <c r="B563" s="60"/>
      <c r="L563" s="61"/>
    </row>
    <row r="564">
      <c r="B564" s="60"/>
      <c r="L564" s="61"/>
    </row>
    <row r="565">
      <c r="B565" s="60"/>
      <c r="L565" s="61"/>
    </row>
    <row r="566">
      <c r="B566" s="60"/>
      <c r="L566" s="61"/>
    </row>
    <row r="567">
      <c r="B567" s="60"/>
      <c r="L567" s="61"/>
    </row>
    <row r="568">
      <c r="B568" s="60"/>
      <c r="L568" s="61"/>
    </row>
    <row r="569">
      <c r="B569" s="60"/>
      <c r="L569" s="61"/>
    </row>
    <row r="570">
      <c r="B570" s="60"/>
      <c r="L570" s="61"/>
    </row>
    <row r="571">
      <c r="B571" s="60"/>
      <c r="L571" s="61"/>
    </row>
    <row r="572">
      <c r="B572" s="60"/>
      <c r="L572" s="61"/>
    </row>
    <row r="573">
      <c r="B573" s="60"/>
      <c r="L573" s="61"/>
    </row>
    <row r="574">
      <c r="B574" s="60"/>
      <c r="L574" s="61"/>
    </row>
    <row r="575">
      <c r="B575" s="60"/>
      <c r="L575" s="61"/>
    </row>
    <row r="576">
      <c r="B576" s="60"/>
      <c r="L576" s="61"/>
    </row>
    <row r="577">
      <c r="B577" s="60"/>
      <c r="L577" s="61"/>
    </row>
    <row r="578">
      <c r="B578" s="60"/>
      <c r="L578" s="61"/>
    </row>
    <row r="579">
      <c r="B579" s="60"/>
      <c r="L579" s="61"/>
    </row>
    <row r="580">
      <c r="B580" s="60"/>
      <c r="L580" s="61"/>
    </row>
    <row r="581">
      <c r="B581" s="60"/>
      <c r="L581" s="61"/>
    </row>
    <row r="582">
      <c r="B582" s="60"/>
      <c r="L582" s="61"/>
    </row>
    <row r="583">
      <c r="B583" s="60"/>
      <c r="L583" s="61"/>
    </row>
    <row r="584">
      <c r="B584" s="60"/>
      <c r="L584" s="61"/>
    </row>
    <row r="585">
      <c r="B585" s="60"/>
      <c r="L585" s="61"/>
    </row>
    <row r="586">
      <c r="B586" s="60"/>
      <c r="L586" s="61"/>
    </row>
    <row r="587">
      <c r="B587" s="60"/>
      <c r="L587" s="61"/>
    </row>
    <row r="588">
      <c r="B588" s="60"/>
      <c r="L588" s="61"/>
    </row>
    <row r="589">
      <c r="B589" s="60"/>
      <c r="L589" s="61"/>
    </row>
    <row r="590">
      <c r="B590" s="60"/>
      <c r="L590" s="61"/>
    </row>
    <row r="591">
      <c r="B591" s="60"/>
      <c r="L591" s="61"/>
    </row>
    <row r="592">
      <c r="B592" s="60"/>
      <c r="L592" s="61"/>
    </row>
    <row r="593">
      <c r="B593" s="60"/>
      <c r="L593" s="61"/>
    </row>
    <row r="594">
      <c r="B594" s="60"/>
      <c r="L594" s="61"/>
    </row>
    <row r="595">
      <c r="B595" s="60"/>
      <c r="L595" s="61"/>
    </row>
    <row r="596">
      <c r="B596" s="60"/>
      <c r="L596" s="61"/>
    </row>
    <row r="597">
      <c r="B597" s="60"/>
      <c r="L597" s="61"/>
    </row>
    <row r="598">
      <c r="B598" s="60"/>
      <c r="L598" s="61"/>
    </row>
    <row r="599">
      <c r="B599" s="60"/>
      <c r="L599" s="61"/>
    </row>
    <row r="600">
      <c r="B600" s="60"/>
      <c r="L600" s="61"/>
    </row>
    <row r="601">
      <c r="B601" s="60"/>
      <c r="L601" s="61"/>
    </row>
    <row r="602">
      <c r="B602" s="60"/>
      <c r="L602" s="61"/>
    </row>
    <row r="603">
      <c r="B603" s="60"/>
      <c r="L603" s="61"/>
    </row>
    <row r="604">
      <c r="B604" s="60"/>
      <c r="L604" s="61"/>
    </row>
    <row r="605">
      <c r="B605" s="60"/>
      <c r="L605" s="61"/>
    </row>
    <row r="606">
      <c r="B606" s="60"/>
      <c r="L606" s="61"/>
    </row>
    <row r="607">
      <c r="B607" s="60"/>
      <c r="L607" s="61"/>
    </row>
    <row r="608">
      <c r="B608" s="60"/>
      <c r="L608" s="61"/>
    </row>
    <row r="609">
      <c r="B609" s="60"/>
      <c r="L609" s="61"/>
    </row>
    <row r="610">
      <c r="B610" s="60"/>
      <c r="L610" s="61"/>
    </row>
    <row r="611">
      <c r="B611" s="60"/>
      <c r="L611" s="61"/>
    </row>
    <row r="612">
      <c r="B612" s="60"/>
      <c r="L612" s="61"/>
    </row>
    <row r="613">
      <c r="B613" s="60"/>
      <c r="L613" s="61"/>
    </row>
    <row r="614">
      <c r="B614" s="60"/>
      <c r="L614" s="61"/>
    </row>
    <row r="615">
      <c r="B615" s="60"/>
      <c r="L615" s="61"/>
    </row>
    <row r="616">
      <c r="B616" s="60"/>
      <c r="L616" s="61"/>
    </row>
    <row r="617">
      <c r="B617" s="60"/>
      <c r="L617" s="61"/>
    </row>
    <row r="618">
      <c r="B618" s="60"/>
      <c r="L618" s="61"/>
    </row>
    <row r="619">
      <c r="B619" s="60"/>
      <c r="L619" s="61"/>
    </row>
    <row r="620">
      <c r="B620" s="60"/>
      <c r="L620" s="61"/>
    </row>
    <row r="621">
      <c r="B621" s="60"/>
      <c r="L621" s="61"/>
    </row>
    <row r="622">
      <c r="B622" s="60"/>
      <c r="L622" s="61"/>
    </row>
    <row r="623">
      <c r="B623" s="60"/>
      <c r="L623" s="61"/>
    </row>
    <row r="624">
      <c r="B624" s="60"/>
      <c r="L624" s="61"/>
    </row>
    <row r="625">
      <c r="B625" s="60"/>
      <c r="L625" s="61"/>
    </row>
    <row r="626">
      <c r="B626" s="60"/>
      <c r="L626" s="61"/>
    </row>
    <row r="627">
      <c r="B627" s="60"/>
      <c r="L627" s="61"/>
    </row>
    <row r="628">
      <c r="B628" s="60"/>
      <c r="L628" s="61"/>
    </row>
    <row r="629">
      <c r="B629" s="60"/>
      <c r="L629" s="61"/>
    </row>
    <row r="630">
      <c r="B630" s="60"/>
      <c r="L630" s="61"/>
    </row>
    <row r="631">
      <c r="B631" s="60"/>
      <c r="L631" s="61"/>
    </row>
    <row r="632">
      <c r="B632" s="60"/>
      <c r="L632" s="61"/>
    </row>
    <row r="633">
      <c r="B633" s="60"/>
      <c r="L633" s="61"/>
    </row>
    <row r="634">
      <c r="B634" s="60"/>
      <c r="L634" s="61"/>
    </row>
    <row r="635">
      <c r="B635" s="60"/>
      <c r="L635" s="61"/>
    </row>
    <row r="636">
      <c r="B636" s="60"/>
      <c r="L636" s="61"/>
    </row>
    <row r="637">
      <c r="B637" s="60"/>
      <c r="L637" s="61"/>
    </row>
    <row r="638">
      <c r="B638" s="60"/>
      <c r="L638" s="61"/>
    </row>
    <row r="639">
      <c r="B639" s="60"/>
      <c r="L639" s="61"/>
    </row>
    <row r="640">
      <c r="B640" s="60"/>
      <c r="L640" s="61"/>
    </row>
    <row r="641">
      <c r="B641" s="60"/>
      <c r="L641" s="61"/>
    </row>
    <row r="642">
      <c r="B642" s="60"/>
      <c r="L642" s="61"/>
    </row>
    <row r="643">
      <c r="B643" s="60"/>
      <c r="L643" s="61"/>
    </row>
    <row r="644">
      <c r="B644" s="60"/>
      <c r="L644" s="61"/>
    </row>
    <row r="645">
      <c r="B645" s="60"/>
      <c r="L645" s="61"/>
    </row>
    <row r="646">
      <c r="B646" s="60"/>
      <c r="L646" s="61"/>
    </row>
    <row r="647">
      <c r="B647" s="60"/>
      <c r="L647" s="61"/>
    </row>
    <row r="648">
      <c r="B648" s="60"/>
      <c r="L648" s="61"/>
    </row>
    <row r="649">
      <c r="B649" s="60"/>
      <c r="L649" s="61"/>
    </row>
    <row r="650">
      <c r="B650" s="60"/>
      <c r="L650" s="61"/>
    </row>
    <row r="651">
      <c r="B651" s="60"/>
      <c r="L651" s="61"/>
    </row>
    <row r="652">
      <c r="B652" s="60"/>
      <c r="L652" s="61"/>
    </row>
    <row r="653">
      <c r="B653" s="60"/>
      <c r="L653" s="61"/>
    </row>
    <row r="654">
      <c r="B654" s="60"/>
      <c r="L654" s="61"/>
    </row>
    <row r="655">
      <c r="B655" s="60"/>
      <c r="L655" s="61"/>
    </row>
    <row r="656">
      <c r="B656" s="60"/>
      <c r="L656" s="61"/>
    </row>
    <row r="657">
      <c r="B657" s="60"/>
      <c r="L657" s="61"/>
    </row>
    <row r="658">
      <c r="B658" s="60"/>
      <c r="L658" s="61"/>
    </row>
    <row r="659">
      <c r="B659" s="60"/>
      <c r="L659" s="61"/>
    </row>
    <row r="660">
      <c r="B660" s="60"/>
      <c r="L660" s="61"/>
    </row>
    <row r="661">
      <c r="B661" s="60"/>
      <c r="L661" s="61"/>
    </row>
    <row r="662">
      <c r="B662" s="60"/>
      <c r="L662" s="61"/>
    </row>
    <row r="663">
      <c r="B663" s="60"/>
      <c r="L663" s="61"/>
    </row>
    <row r="664">
      <c r="B664" s="60"/>
      <c r="L664" s="61"/>
    </row>
    <row r="665">
      <c r="B665" s="60"/>
      <c r="L665" s="61"/>
    </row>
    <row r="666">
      <c r="B666" s="60"/>
      <c r="L666" s="61"/>
    </row>
    <row r="667">
      <c r="B667" s="60"/>
      <c r="L667" s="61"/>
    </row>
    <row r="668">
      <c r="B668" s="60"/>
      <c r="L668" s="61"/>
    </row>
    <row r="669">
      <c r="B669" s="60"/>
      <c r="L669" s="61"/>
    </row>
    <row r="670">
      <c r="B670" s="60"/>
      <c r="L670" s="61"/>
    </row>
    <row r="671">
      <c r="B671" s="60"/>
      <c r="L671" s="61"/>
    </row>
    <row r="672">
      <c r="B672" s="60"/>
      <c r="L672" s="61"/>
    </row>
    <row r="673">
      <c r="B673" s="60"/>
      <c r="L673" s="61"/>
    </row>
    <row r="674">
      <c r="B674" s="60"/>
      <c r="L674" s="61"/>
    </row>
    <row r="675">
      <c r="B675" s="60"/>
      <c r="L675" s="61"/>
    </row>
    <row r="676">
      <c r="B676" s="60"/>
      <c r="L676" s="61"/>
    </row>
    <row r="677">
      <c r="B677" s="60"/>
      <c r="L677" s="61"/>
    </row>
    <row r="678">
      <c r="B678" s="60"/>
      <c r="L678" s="61"/>
    </row>
    <row r="679">
      <c r="B679" s="60"/>
      <c r="L679" s="61"/>
    </row>
    <row r="680">
      <c r="B680" s="60"/>
      <c r="L680" s="61"/>
    </row>
    <row r="681">
      <c r="B681" s="60"/>
      <c r="L681" s="61"/>
    </row>
    <row r="682">
      <c r="B682" s="60"/>
      <c r="L682" s="61"/>
    </row>
    <row r="683">
      <c r="B683" s="60"/>
      <c r="L683" s="61"/>
    </row>
    <row r="684">
      <c r="B684" s="60"/>
      <c r="L684" s="61"/>
    </row>
    <row r="685">
      <c r="B685" s="60"/>
      <c r="L685" s="61"/>
    </row>
    <row r="686">
      <c r="B686" s="60"/>
      <c r="L686" s="61"/>
    </row>
    <row r="687">
      <c r="B687" s="60"/>
      <c r="L687" s="61"/>
    </row>
    <row r="688">
      <c r="B688" s="60"/>
      <c r="L688" s="61"/>
    </row>
    <row r="689">
      <c r="B689" s="60"/>
      <c r="L689" s="61"/>
    </row>
    <row r="690">
      <c r="B690" s="60"/>
      <c r="L690" s="61"/>
    </row>
    <row r="691">
      <c r="B691" s="60"/>
      <c r="L691" s="61"/>
    </row>
    <row r="692">
      <c r="B692" s="60"/>
      <c r="L692" s="61"/>
    </row>
    <row r="693">
      <c r="B693" s="60"/>
      <c r="L693" s="61"/>
    </row>
    <row r="694">
      <c r="B694" s="60"/>
      <c r="L694" s="61"/>
    </row>
    <row r="695">
      <c r="B695" s="60"/>
      <c r="L695" s="61"/>
    </row>
    <row r="696">
      <c r="B696" s="60"/>
      <c r="L696" s="61"/>
    </row>
    <row r="697">
      <c r="B697" s="60"/>
      <c r="L697" s="61"/>
    </row>
    <row r="698">
      <c r="B698" s="60"/>
      <c r="L698" s="61"/>
    </row>
    <row r="699">
      <c r="B699" s="60"/>
      <c r="L699" s="61"/>
    </row>
    <row r="700">
      <c r="B700" s="60"/>
      <c r="L700" s="61"/>
    </row>
    <row r="701">
      <c r="B701" s="60"/>
      <c r="L701" s="61"/>
    </row>
    <row r="702">
      <c r="B702" s="60"/>
      <c r="L702" s="61"/>
    </row>
    <row r="703">
      <c r="B703" s="60"/>
      <c r="L703" s="61"/>
    </row>
    <row r="704">
      <c r="B704" s="60"/>
      <c r="L704" s="61"/>
    </row>
    <row r="705">
      <c r="B705" s="60"/>
      <c r="L705" s="61"/>
    </row>
    <row r="706">
      <c r="B706" s="60"/>
      <c r="L706" s="61"/>
    </row>
    <row r="707">
      <c r="B707" s="60"/>
      <c r="L707" s="61"/>
    </row>
    <row r="708">
      <c r="B708" s="60"/>
      <c r="L708" s="61"/>
    </row>
    <row r="709">
      <c r="B709" s="60"/>
      <c r="L709" s="61"/>
    </row>
    <row r="710">
      <c r="B710" s="60"/>
      <c r="L710" s="61"/>
    </row>
    <row r="711">
      <c r="B711" s="60"/>
      <c r="L711" s="61"/>
    </row>
    <row r="712">
      <c r="B712" s="60"/>
      <c r="L712" s="61"/>
    </row>
    <row r="713">
      <c r="B713" s="60"/>
      <c r="L713" s="61"/>
    </row>
    <row r="714">
      <c r="B714" s="60"/>
      <c r="L714" s="61"/>
    </row>
    <row r="715">
      <c r="B715" s="60"/>
      <c r="L715" s="61"/>
    </row>
    <row r="716">
      <c r="B716" s="60"/>
      <c r="L716" s="61"/>
    </row>
    <row r="717">
      <c r="B717" s="60"/>
      <c r="L717" s="61"/>
    </row>
    <row r="718">
      <c r="B718" s="60"/>
      <c r="L718" s="61"/>
    </row>
    <row r="719">
      <c r="B719" s="60"/>
      <c r="L719" s="61"/>
    </row>
    <row r="720">
      <c r="B720" s="60"/>
      <c r="L720" s="61"/>
    </row>
    <row r="721">
      <c r="B721" s="60"/>
      <c r="L721" s="61"/>
    </row>
    <row r="722">
      <c r="B722" s="60"/>
      <c r="L722" s="61"/>
    </row>
    <row r="723">
      <c r="B723" s="60"/>
      <c r="L723" s="61"/>
    </row>
    <row r="724">
      <c r="B724" s="60"/>
      <c r="L724" s="61"/>
    </row>
    <row r="725">
      <c r="B725" s="60"/>
      <c r="L725" s="61"/>
    </row>
    <row r="726">
      <c r="B726" s="60"/>
      <c r="L726" s="61"/>
    </row>
    <row r="727">
      <c r="B727" s="60"/>
      <c r="L727" s="61"/>
    </row>
    <row r="728">
      <c r="B728" s="60"/>
      <c r="L728" s="61"/>
    </row>
    <row r="729">
      <c r="B729" s="60"/>
      <c r="L729" s="61"/>
    </row>
    <row r="730">
      <c r="B730" s="60"/>
      <c r="L730" s="61"/>
    </row>
    <row r="731">
      <c r="B731" s="60"/>
      <c r="L731" s="61"/>
    </row>
    <row r="732">
      <c r="B732" s="60"/>
      <c r="L732" s="61"/>
    </row>
    <row r="733">
      <c r="B733" s="60"/>
      <c r="L733" s="61"/>
    </row>
    <row r="734">
      <c r="B734" s="60"/>
      <c r="L734" s="61"/>
    </row>
    <row r="735">
      <c r="B735" s="60"/>
      <c r="L735" s="61"/>
    </row>
    <row r="736">
      <c r="B736" s="60"/>
      <c r="L736" s="61"/>
    </row>
    <row r="737">
      <c r="B737" s="60"/>
      <c r="L737" s="61"/>
    </row>
    <row r="738">
      <c r="B738" s="60"/>
      <c r="L738" s="61"/>
    </row>
    <row r="739">
      <c r="B739" s="60"/>
      <c r="L739" s="61"/>
    </row>
    <row r="740">
      <c r="B740" s="60"/>
      <c r="L740" s="61"/>
    </row>
    <row r="741">
      <c r="B741" s="60"/>
      <c r="L741" s="61"/>
    </row>
    <row r="742">
      <c r="B742" s="60"/>
      <c r="L742" s="61"/>
    </row>
    <row r="743">
      <c r="B743" s="60"/>
      <c r="L743" s="61"/>
    </row>
    <row r="744">
      <c r="B744" s="60"/>
      <c r="L744" s="61"/>
    </row>
    <row r="745">
      <c r="B745" s="60"/>
      <c r="L745" s="61"/>
    </row>
    <row r="746">
      <c r="B746" s="60"/>
      <c r="L746" s="61"/>
    </row>
    <row r="747">
      <c r="B747" s="60"/>
      <c r="L747" s="61"/>
    </row>
    <row r="748">
      <c r="B748" s="60"/>
      <c r="L748" s="61"/>
    </row>
    <row r="749">
      <c r="B749" s="60"/>
      <c r="L749" s="61"/>
    </row>
    <row r="750">
      <c r="B750" s="60"/>
      <c r="L750" s="61"/>
    </row>
    <row r="751">
      <c r="B751" s="60"/>
      <c r="L751" s="61"/>
    </row>
    <row r="752">
      <c r="B752" s="60"/>
      <c r="L752" s="61"/>
    </row>
    <row r="753">
      <c r="B753" s="60"/>
      <c r="L753" s="61"/>
    </row>
    <row r="754">
      <c r="B754" s="60"/>
      <c r="L754" s="61"/>
    </row>
    <row r="755">
      <c r="B755" s="60"/>
      <c r="L755" s="61"/>
    </row>
    <row r="756">
      <c r="B756" s="60"/>
      <c r="L756" s="61"/>
    </row>
    <row r="757">
      <c r="B757" s="60"/>
      <c r="L757" s="61"/>
    </row>
    <row r="758">
      <c r="B758" s="60"/>
      <c r="L758" s="61"/>
    </row>
    <row r="759">
      <c r="B759" s="60"/>
      <c r="L759" s="61"/>
    </row>
    <row r="760">
      <c r="B760" s="60"/>
      <c r="L760" s="61"/>
    </row>
    <row r="761">
      <c r="B761" s="60"/>
      <c r="L761" s="61"/>
    </row>
    <row r="762">
      <c r="B762" s="60"/>
      <c r="L762" s="61"/>
    </row>
    <row r="763">
      <c r="B763" s="60"/>
      <c r="L763" s="61"/>
    </row>
    <row r="764">
      <c r="B764" s="60"/>
      <c r="L764" s="61"/>
    </row>
    <row r="765">
      <c r="B765" s="60"/>
      <c r="L765" s="61"/>
    </row>
    <row r="766">
      <c r="B766" s="60"/>
      <c r="L766" s="61"/>
    </row>
    <row r="767">
      <c r="B767" s="60"/>
      <c r="L767" s="61"/>
    </row>
    <row r="768">
      <c r="B768" s="60"/>
      <c r="L768" s="61"/>
    </row>
    <row r="769">
      <c r="B769" s="60"/>
      <c r="L769" s="61"/>
    </row>
    <row r="770">
      <c r="B770" s="60"/>
      <c r="L770" s="61"/>
    </row>
    <row r="771">
      <c r="B771" s="60"/>
      <c r="L771" s="61"/>
    </row>
    <row r="772">
      <c r="B772" s="60"/>
      <c r="L772" s="61"/>
    </row>
    <row r="773">
      <c r="B773" s="60"/>
      <c r="L773" s="61"/>
    </row>
    <row r="774">
      <c r="B774" s="60"/>
      <c r="L774" s="61"/>
    </row>
    <row r="775">
      <c r="B775" s="60"/>
      <c r="L775" s="61"/>
    </row>
    <row r="776">
      <c r="B776" s="60"/>
      <c r="L776" s="61"/>
    </row>
    <row r="777">
      <c r="B777" s="60"/>
      <c r="L777" s="61"/>
    </row>
    <row r="778">
      <c r="B778" s="60"/>
      <c r="L778" s="61"/>
    </row>
    <row r="779">
      <c r="B779" s="60"/>
      <c r="L779" s="61"/>
    </row>
    <row r="780">
      <c r="B780" s="60"/>
      <c r="L780" s="61"/>
    </row>
    <row r="781">
      <c r="B781" s="60"/>
      <c r="L781" s="61"/>
    </row>
    <row r="782">
      <c r="B782" s="60"/>
      <c r="L782" s="61"/>
    </row>
    <row r="783">
      <c r="B783" s="60"/>
      <c r="L783" s="61"/>
    </row>
    <row r="784">
      <c r="B784" s="60"/>
      <c r="L784" s="61"/>
    </row>
    <row r="785">
      <c r="B785" s="60"/>
      <c r="L785" s="61"/>
    </row>
    <row r="786">
      <c r="B786" s="60"/>
      <c r="L786" s="61"/>
    </row>
    <row r="787">
      <c r="B787" s="60"/>
      <c r="L787" s="61"/>
    </row>
    <row r="788">
      <c r="B788" s="60"/>
      <c r="L788" s="61"/>
    </row>
    <row r="789">
      <c r="B789" s="60"/>
      <c r="L789" s="61"/>
    </row>
    <row r="790">
      <c r="B790" s="60"/>
      <c r="L790" s="61"/>
    </row>
    <row r="791">
      <c r="B791" s="60"/>
      <c r="L791" s="61"/>
    </row>
    <row r="792">
      <c r="B792" s="60"/>
      <c r="L792" s="61"/>
    </row>
    <row r="793">
      <c r="B793" s="60"/>
      <c r="L793" s="61"/>
    </row>
    <row r="794">
      <c r="B794" s="60"/>
      <c r="L794" s="61"/>
    </row>
    <row r="795">
      <c r="B795" s="60"/>
      <c r="L795" s="61"/>
    </row>
    <row r="796">
      <c r="B796" s="60"/>
      <c r="L796" s="61"/>
    </row>
    <row r="797">
      <c r="B797" s="60"/>
      <c r="L797" s="61"/>
    </row>
    <row r="798">
      <c r="B798" s="60"/>
      <c r="L798" s="61"/>
    </row>
    <row r="799">
      <c r="B799" s="60"/>
      <c r="L799" s="61"/>
    </row>
    <row r="800">
      <c r="B800" s="60"/>
      <c r="L800" s="61"/>
    </row>
    <row r="801">
      <c r="B801" s="60"/>
      <c r="L801" s="61"/>
    </row>
    <row r="802">
      <c r="B802" s="60"/>
      <c r="L802" s="61"/>
    </row>
    <row r="803">
      <c r="B803" s="60"/>
      <c r="L803" s="61"/>
    </row>
    <row r="804">
      <c r="B804" s="60"/>
      <c r="L804" s="61"/>
    </row>
    <row r="805">
      <c r="B805" s="60"/>
      <c r="L805" s="61"/>
    </row>
    <row r="806">
      <c r="B806" s="60"/>
      <c r="L806" s="61"/>
    </row>
    <row r="807">
      <c r="B807" s="60"/>
      <c r="L807" s="61"/>
    </row>
    <row r="808">
      <c r="B808" s="60"/>
      <c r="L808" s="61"/>
    </row>
    <row r="809">
      <c r="B809" s="60"/>
      <c r="L809" s="61"/>
    </row>
    <row r="810">
      <c r="B810" s="60"/>
      <c r="L810" s="61"/>
    </row>
    <row r="811">
      <c r="B811" s="60"/>
      <c r="L811" s="61"/>
    </row>
    <row r="812">
      <c r="B812" s="60"/>
      <c r="L812" s="61"/>
    </row>
    <row r="813">
      <c r="B813" s="60"/>
      <c r="L813" s="61"/>
    </row>
    <row r="814">
      <c r="B814" s="60"/>
      <c r="L814" s="61"/>
    </row>
    <row r="815">
      <c r="B815" s="60"/>
      <c r="L815" s="61"/>
    </row>
    <row r="816">
      <c r="B816" s="60"/>
      <c r="L816" s="61"/>
    </row>
    <row r="817">
      <c r="B817" s="60"/>
      <c r="L817" s="61"/>
    </row>
    <row r="818">
      <c r="B818" s="60"/>
      <c r="L818" s="61"/>
    </row>
    <row r="819">
      <c r="B819" s="60"/>
      <c r="L819" s="61"/>
    </row>
    <row r="820">
      <c r="B820" s="60"/>
      <c r="L820" s="61"/>
    </row>
    <row r="821">
      <c r="B821" s="60"/>
      <c r="L821" s="61"/>
    </row>
    <row r="822">
      <c r="B822" s="60"/>
      <c r="L822" s="61"/>
    </row>
    <row r="823">
      <c r="B823" s="60"/>
      <c r="L823" s="61"/>
    </row>
    <row r="824">
      <c r="B824" s="60"/>
      <c r="L824" s="61"/>
    </row>
    <row r="825">
      <c r="B825" s="60"/>
      <c r="L825" s="61"/>
    </row>
    <row r="826">
      <c r="B826" s="60"/>
      <c r="L826" s="61"/>
    </row>
    <row r="827">
      <c r="B827" s="60"/>
      <c r="L827" s="61"/>
    </row>
    <row r="828">
      <c r="B828" s="60"/>
      <c r="L828" s="61"/>
    </row>
    <row r="829">
      <c r="B829" s="60"/>
      <c r="L829" s="61"/>
    </row>
    <row r="830">
      <c r="B830" s="60"/>
      <c r="L830" s="61"/>
    </row>
    <row r="831">
      <c r="B831" s="60"/>
      <c r="L831" s="61"/>
    </row>
    <row r="832">
      <c r="B832" s="60"/>
      <c r="L832" s="61"/>
    </row>
    <row r="833">
      <c r="B833" s="60"/>
      <c r="L833" s="61"/>
    </row>
    <row r="834">
      <c r="B834" s="60"/>
      <c r="L834" s="61"/>
    </row>
    <row r="835">
      <c r="B835" s="60"/>
      <c r="L835" s="61"/>
    </row>
    <row r="836">
      <c r="B836" s="60"/>
      <c r="L836" s="61"/>
    </row>
    <row r="837">
      <c r="B837" s="60"/>
      <c r="L837" s="61"/>
    </row>
    <row r="838">
      <c r="B838" s="60"/>
      <c r="L838" s="61"/>
    </row>
    <row r="839">
      <c r="B839" s="60"/>
      <c r="L839" s="61"/>
    </row>
    <row r="840">
      <c r="B840" s="60"/>
      <c r="L840" s="61"/>
    </row>
    <row r="841">
      <c r="B841" s="60"/>
      <c r="L841" s="61"/>
    </row>
    <row r="842">
      <c r="B842" s="60"/>
      <c r="L842" s="61"/>
    </row>
    <row r="843">
      <c r="B843" s="60"/>
      <c r="L843" s="61"/>
    </row>
    <row r="844">
      <c r="B844" s="60"/>
      <c r="L844" s="61"/>
    </row>
    <row r="845">
      <c r="B845" s="60"/>
      <c r="L845" s="61"/>
    </row>
    <row r="846">
      <c r="B846" s="60"/>
      <c r="L846" s="61"/>
    </row>
    <row r="847">
      <c r="B847" s="60"/>
      <c r="L847" s="61"/>
    </row>
    <row r="848">
      <c r="B848" s="60"/>
      <c r="L848" s="61"/>
    </row>
    <row r="849">
      <c r="B849" s="60"/>
      <c r="L849" s="61"/>
    </row>
    <row r="850">
      <c r="B850" s="60"/>
      <c r="L850" s="61"/>
    </row>
    <row r="851">
      <c r="B851" s="60"/>
      <c r="L851" s="61"/>
    </row>
    <row r="852">
      <c r="B852" s="60"/>
      <c r="L852" s="61"/>
    </row>
    <row r="853">
      <c r="B853" s="60"/>
      <c r="L853" s="61"/>
    </row>
    <row r="854">
      <c r="B854" s="60"/>
      <c r="L854" s="61"/>
    </row>
    <row r="855">
      <c r="B855" s="60"/>
      <c r="L855" s="61"/>
    </row>
    <row r="856">
      <c r="B856" s="60"/>
      <c r="L856" s="61"/>
    </row>
    <row r="857">
      <c r="B857" s="60"/>
      <c r="L857" s="61"/>
    </row>
    <row r="858">
      <c r="B858" s="60"/>
      <c r="L858" s="61"/>
    </row>
    <row r="859">
      <c r="B859" s="60"/>
      <c r="L859" s="61"/>
    </row>
    <row r="860">
      <c r="B860" s="60"/>
      <c r="L860" s="61"/>
    </row>
    <row r="861">
      <c r="B861" s="60"/>
      <c r="L861" s="61"/>
    </row>
    <row r="862">
      <c r="B862" s="60"/>
      <c r="L862" s="61"/>
    </row>
    <row r="863">
      <c r="B863" s="60"/>
      <c r="L863" s="61"/>
    </row>
    <row r="864">
      <c r="B864" s="60"/>
      <c r="L864" s="61"/>
    </row>
    <row r="865">
      <c r="B865" s="60"/>
      <c r="L865" s="61"/>
    </row>
    <row r="866">
      <c r="B866" s="60"/>
      <c r="L866" s="61"/>
    </row>
    <row r="867">
      <c r="B867" s="60"/>
      <c r="L867" s="61"/>
    </row>
    <row r="868">
      <c r="B868" s="60"/>
      <c r="L868" s="61"/>
    </row>
    <row r="869">
      <c r="B869" s="60"/>
      <c r="L869" s="61"/>
    </row>
    <row r="870">
      <c r="B870" s="60"/>
      <c r="L870" s="61"/>
    </row>
    <row r="871">
      <c r="B871" s="60"/>
      <c r="L871" s="61"/>
    </row>
    <row r="872">
      <c r="B872" s="60"/>
      <c r="L872" s="61"/>
    </row>
    <row r="873">
      <c r="B873" s="60"/>
      <c r="L873" s="61"/>
    </row>
    <row r="874">
      <c r="B874" s="60"/>
      <c r="L874" s="61"/>
    </row>
    <row r="875">
      <c r="B875" s="60"/>
      <c r="L875" s="61"/>
    </row>
    <row r="876">
      <c r="B876" s="60"/>
      <c r="L876" s="61"/>
    </row>
    <row r="877">
      <c r="B877" s="60"/>
      <c r="L877" s="61"/>
    </row>
    <row r="878">
      <c r="B878" s="60"/>
      <c r="L878" s="61"/>
    </row>
    <row r="879">
      <c r="B879" s="60"/>
      <c r="L879" s="61"/>
    </row>
    <row r="880">
      <c r="B880" s="60"/>
      <c r="L880" s="61"/>
    </row>
    <row r="881">
      <c r="B881" s="60"/>
      <c r="L881" s="61"/>
    </row>
    <row r="882">
      <c r="B882" s="60"/>
      <c r="L882" s="61"/>
    </row>
    <row r="883">
      <c r="B883" s="60"/>
      <c r="L883" s="61"/>
    </row>
    <row r="884">
      <c r="B884" s="60"/>
      <c r="L884" s="61"/>
    </row>
    <row r="885">
      <c r="B885" s="60"/>
      <c r="L885" s="61"/>
    </row>
    <row r="886">
      <c r="B886" s="60"/>
      <c r="L886" s="61"/>
    </row>
    <row r="887">
      <c r="B887" s="60"/>
      <c r="L887" s="61"/>
    </row>
    <row r="888">
      <c r="B888" s="60"/>
      <c r="L888" s="61"/>
    </row>
    <row r="889">
      <c r="B889" s="60"/>
      <c r="L889" s="61"/>
    </row>
    <row r="890">
      <c r="B890" s="60"/>
      <c r="L890" s="61"/>
    </row>
    <row r="891">
      <c r="B891" s="60"/>
      <c r="L891" s="61"/>
    </row>
    <row r="892">
      <c r="B892" s="60"/>
      <c r="L892" s="61"/>
    </row>
    <row r="893">
      <c r="B893" s="60"/>
      <c r="L893" s="61"/>
    </row>
    <row r="894">
      <c r="B894" s="60"/>
      <c r="L894" s="61"/>
    </row>
    <row r="895">
      <c r="B895" s="60"/>
      <c r="L895" s="61"/>
    </row>
    <row r="896">
      <c r="B896" s="60"/>
      <c r="L896" s="61"/>
    </row>
    <row r="897">
      <c r="B897" s="60"/>
      <c r="L897" s="61"/>
    </row>
    <row r="898">
      <c r="B898" s="60"/>
      <c r="L898" s="61"/>
    </row>
    <row r="899">
      <c r="B899" s="60"/>
      <c r="L899" s="61"/>
    </row>
    <row r="900">
      <c r="B900" s="60"/>
      <c r="L900" s="61"/>
    </row>
    <row r="901">
      <c r="B901" s="60"/>
      <c r="L901" s="61"/>
    </row>
    <row r="902">
      <c r="B902" s="60"/>
      <c r="L902" s="61"/>
    </row>
    <row r="903">
      <c r="B903" s="60"/>
      <c r="L903" s="61"/>
    </row>
    <row r="904">
      <c r="B904" s="60"/>
      <c r="L904" s="61"/>
    </row>
    <row r="905">
      <c r="B905" s="60"/>
      <c r="L905" s="61"/>
    </row>
    <row r="906">
      <c r="B906" s="60"/>
      <c r="L906" s="61"/>
    </row>
    <row r="907">
      <c r="B907" s="60"/>
      <c r="L907" s="61"/>
    </row>
    <row r="908">
      <c r="B908" s="60"/>
      <c r="L908" s="61"/>
    </row>
    <row r="909">
      <c r="B909" s="60"/>
      <c r="L909" s="61"/>
    </row>
    <row r="910">
      <c r="B910" s="60"/>
      <c r="L910" s="61"/>
    </row>
    <row r="911">
      <c r="B911" s="60"/>
      <c r="L911" s="61"/>
    </row>
    <row r="912">
      <c r="B912" s="60"/>
      <c r="L912" s="61"/>
    </row>
    <row r="913">
      <c r="B913" s="60"/>
      <c r="L913" s="61"/>
    </row>
    <row r="914">
      <c r="B914" s="60"/>
      <c r="L914" s="61"/>
    </row>
    <row r="915">
      <c r="B915" s="60"/>
      <c r="L915" s="61"/>
    </row>
    <row r="916">
      <c r="B916" s="60"/>
      <c r="L916" s="61"/>
    </row>
    <row r="917">
      <c r="B917" s="60"/>
      <c r="L917" s="61"/>
    </row>
    <row r="918">
      <c r="B918" s="60"/>
      <c r="L918" s="61"/>
    </row>
    <row r="919">
      <c r="B919" s="60"/>
      <c r="L919" s="61"/>
    </row>
    <row r="920">
      <c r="B920" s="60"/>
      <c r="L920" s="61"/>
    </row>
    <row r="921">
      <c r="B921" s="60"/>
      <c r="L921" s="61"/>
    </row>
    <row r="922">
      <c r="B922" s="60"/>
      <c r="L922" s="61"/>
    </row>
    <row r="923">
      <c r="B923" s="60"/>
      <c r="L923" s="61"/>
    </row>
    <row r="924">
      <c r="B924" s="60"/>
      <c r="L924" s="61"/>
    </row>
    <row r="925">
      <c r="B925" s="60"/>
      <c r="L925" s="61"/>
    </row>
    <row r="926">
      <c r="B926" s="60"/>
      <c r="L926" s="61"/>
    </row>
    <row r="927">
      <c r="B927" s="60"/>
      <c r="L927" s="61"/>
    </row>
    <row r="928">
      <c r="B928" s="60"/>
      <c r="L928" s="61"/>
    </row>
    <row r="929">
      <c r="B929" s="60"/>
      <c r="L929" s="61"/>
    </row>
    <row r="930">
      <c r="B930" s="60"/>
      <c r="L930" s="61"/>
    </row>
    <row r="931">
      <c r="B931" s="60"/>
      <c r="L931" s="61"/>
    </row>
    <row r="932">
      <c r="B932" s="60"/>
      <c r="L932" s="61"/>
    </row>
    <row r="933">
      <c r="B933" s="60"/>
      <c r="L933" s="61"/>
    </row>
    <row r="934">
      <c r="B934" s="60"/>
      <c r="L934" s="61"/>
    </row>
    <row r="935">
      <c r="B935" s="60"/>
      <c r="L935" s="61"/>
    </row>
    <row r="936">
      <c r="B936" s="60"/>
      <c r="L936" s="61"/>
    </row>
    <row r="937">
      <c r="B937" s="60"/>
      <c r="L937" s="61"/>
    </row>
    <row r="938">
      <c r="B938" s="60"/>
      <c r="L938" s="61"/>
    </row>
    <row r="939">
      <c r="B939" s="60"/>
      <c r="L939" s="61"/>
    </row>
    <row r="940">
      <c r="B940" s="60"/>
      <c r="L940" s="61"/>
    </row>
    <row r="941">
      <c r="B941" s="60"/>
      <c r="L941" s="61"/>
    </row>
    <row r="942">
      <c r="B942" s="60"/>
      <c r="L942" s="61"/>
    </row>
    <row r="943">
      <c r="B943" s="60"/>
      <c r="L943" s="61"/>
    </row>
    <row r="944">
      <c r="B944" s="60"/>
      <c r="L944" s="61"/>
    </row>
    <row r="945">
      <c r="B945" s="60"/>
      <c r="L945" s="61"/>
    </row>
    <row r="946">
      <c r="B946" s="60"/>
      <c r="L946" s="61"/>
    </row>
    <row r="947">
      <c r="B947" s="60"/>
      <c r="L947" s="61"/>
    </row>
    <row r="948">
      <c r="B948" s="60"/>
      <c r="L948" s="61"/>
    </row>
    <row r="949">
      <c r="B949" s="60"/>
      <c r="L949" s="61"/>
    </row>
    <row r="950">
      <c r="B950" s="60"/>
      <c r="L950" s="61"/>
    </row>
    <row r="951">
      <c r="B951" s="60"/>
      <c r="L951" s="61"/>
    </row>
    <row r="952">
      <c r="B952" s="60"/>
      <c r="L952" s="61"/>
    </row>
    <row r="953">
      <c r="B953" s="60"/>
      <c r="L953" s="61"/>
    </row>
    <row r="954">
      <c r="B954" s="60"/>
      <c r="L954" s="61"/>
    </row>
    <row r="955">
      <c r="B955" s="60"/>
      <c r="L955" s="61"/>
    </row>
    <row r="956">
      <c r="B956" s="60"/>
      <c r="L956" s="61"/>
    </row>
    <row r="957">
      <c r="B957" s="60"/>
      <c r="L957" s="61"/>
    </row>
    <row r="958">
      <c r="B958" s="60"/>
      <c r="L958" s="61"/>
    </row>
    <row r="959">
      <c r="B959" s="60"/>
      <c r="L959" s="61"/>
    </row>
    <row r="960">
      <c r="B960" s="60"/>
      <c r="L960" s="61"/>
    </row>
    <row r="961">
      <c r="B961" s="60"/>
      <c r="L961" s="61"/>
    </row>
    <row r="962">
      <c r="B962" s="60"/>
      <c r="L962" s="61"/>
    </row>
    <row r="963">
      <c r="B963" s="60"/>
      <c r="L963" s="61"/>
    </row>
    <row r="964">
      <c r="B964" s="60"/>
      <c r="L964" s="61"/>
    </row>
    <row r="965">
      <c r="B965" s="60"/>
      <c r="L965" s="61"/>
    </row>
    <row r="966">
      <c r="B966" s="60"/>
      <c r="L966" s="61"/>
    </row>
    <row r="967">
      <c r="B967" s="60"/>
      <c r="L967" s="61"/>
    </row>
    <row r="968">
      <c r="B968" s="60"/>
      <c r="L968" s="61"/>
    </row>
    <row r="969">
      <c r="B969" s="60"/>
      <c r="L969" s="61"/>
    </row>
    <row r="970">
      <c r="B970" s="60"/>
      <c r="L970" s="61"/>
    </row>
    <row r="971">
      <c r="B971" s="60"/>
      <c r="L971" s="61"/>
    </row>
    <row r="972">
      <c r="B972" s="60"/>
      <c r="L972" s="61"/>
    </row>
    <row r="973">
      <c r="B973" s="60"/>
      <c r="L973" s="61"/>
    </row>
    <row r="974">
      <c r="B974" s="60"/>
      <c r="L974" s="61"/>
    </row>
    <row r="975">
      <c r="B975" s="60"/>
      <c r="L975" s="61"/>
    </row>
    <row r="976">
      <c r="B976" s="60"/>
      <c r="L976" s="61"/>
    </row>
    <row r="977">
      <c r="B977" s="60"/>
      <c r="L977" s="61"/>
    </row>
    <row r="978">
      <c r="B978" s="60"/>
      <c r="L978" s="61"/>
    </row>
    <row r="979">
      <c r="B979" s="60"/>
      <c r="L979" s="61"/>
    </row>
    <row r="980">
      <c r="B980" s="60"/>
      <c r="L980" s="61"/>
    </row>
    <row r="981">
      <c r="B981" s="60"/>
      <c r="L981" s="61"/>
    </row>
    <row r="982">
      <c r="B982" s="60"/>
      <c r="L982" s="61"/>
    </row>
    <row r="983">
      <c r="B983" s="60"/>
      <c r="L983" s="61"/>
    </row>
    <row r="984">
      <c r="B984" s="60"/>
      <c r="L984" s="61"/>
    </row>
    <row r="985">
      <c r="B985" s="60"/>
      <c r="L985" s="61"/>
    </row>
    <row r="986">
      <c r="B986" s="60"/>
      <c r="L986" s="61"/>
    </row>
    <row r="987">
      <c r="B987" s="60"/>
      <c r="L987" s="61"/>
    </row>
    <row r="988">
      <c r="B988" s="60"/>
      <c r="L988" s="61"/>
    </row>
    <row r="989">
      <c r="B989" s="60"/>
      <c r="L989" s="61"/>
    </row>
    <row r="990">
      <c r="B990" s="60"/>
      <c r="L990" s="61"/>
    </row>
    <row r="991">
      <c r="B991" s="60"/>
      <c r="L991" s="61"/>
    </row>
    <row r="992">
      <c r="B992" s="60"/>
      <c r="L992" s="61"/>
    </row>
    <row r="993">
      <c r="B993" s="60"/>
      <c r="L993" s="61"/>
    </row>
    <row r="994">
      <c r="B994" s="60"/>
      <c r="L994" s="61"/>
    </row>
    <row r="995">
      <c r="B995" s="60"/>
      <c r="L995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7.63"/>
    <col customWidth="1" min="3" max="3" width="17.38"/>
    <col customWidth="1" min="4" max="4" width="17.0"/>
    <col customWidth="1" min="6" max="6" width="18.38"/>
    <col customWidth="1" min="7" max="7" width="32.0"/>
    <col customWidth="1" min="8" max="8" width="18.63"/>
    <col customWidth="1" min="9" max="9" width="20.63"/>
  </cols>
  <sheetData>
    <row r="1">
      <c r="A1" s="56" t="s">
        <v>478</v>
      </c>
      <c r="B1" s="62">
        <v>46146.618993055556</v>
      </c>
      <c r="C1" s="56" t="s">
        <v>285</v>
      </c>
      <c r="D1" s="56" t="s">
        <v>7</v>
      </c>
      <c r="E1" s="58">
        <v>-1.0</v>
      </c>
      <c r="F1" s="56" t="s">
        <v>479</v>
      </c>
      <c r="G1" s="56" t="s">
        <v>480</v>
      </c>
      <c r="H1" s="56" t="s">
        <v>393</v>
      </c>
      <c r="I1" s="56" t="s">
        <v>481</v>
      </c>
    </row>
    <row r="2">
      <c r="A2" s="56" t="s">
        <v>482</v>
      </c>
      <c r="B2" s="62">
        <v>46146.620405092595</v>
      </c>
      <c r="C2" s="56" t="s">
        <v>207</v>
      </c>
      <c r="D2" s="56" t="s">
        <v>8</v>
      </c>
      <c r="E2" s="58">
        <v>-1.0</v>
      </c>
      <c r="F2" s="56" t="s">
        <v>479</v>
      </c>
      <c r="G2" s="56" t="s">
        <v>483</v>
      </c>
      <c r="H2" s="56" t="s">
        <v>484</v>
      </c>
      <c r="I2" s="56" t="s">
        <v>481</v>
      </c>
    </row>
    <row r="3">
      <c r="A3" s="56" t="s">
        <v>485</v>
      </c>
      <c r="B3" s="62">
        <v>46146.621354166666</v>
      </c>
      <c r="C3" s="56" t="s">
        <v>207</v>
      </c>
      <c r="D3" s="56" t="s">
        <v>8</v>
      </c>
      <c r="E3" s="58">
        <v>1.0</v>
      </c>
      <c r="F3" s="56" t="s">
        <v>486</v>
      </c>
      <c r="G3" s="56" t="s">
        <v>487</v>
      </c>
      <c r="H3" s="56" t="s">
        <v>484</v>
      </c>
      <c r="I3" s="56" t="s">
        <v>481</v>
      </c>
    </row>
    <row r="4">
      <c r="A4" s="56" t="s">
        <v>488</v>
      </c>
      <c r="B4" s="62">
        <v>46146.62289351852</v>
      </c>
      <c r="C4" s="56" t="s">
        <v>207</v>
      </c>
      <c r="D4" s="56" t="s">
        <v>8</v>
      </c>
      <c r="E4" s="58">
        <v>-1.0</v>
      </c>
      <c r="F4" s="56" t="s">
        <v>479</v>
      </c>
      <c r="G4" s="56" t="s">
        <v>489</v>
      </c>
      <c r="H4" s="56" t="s">
        <v>399</v>
      </c>
      <c r="I4" s="56" t="s">
        <v>481</v>
      </c>
    </row>
    <row r="5">
      <c r="A5" s="56" t="s">
        <v>490</v>
      </c>
      <c r="B5" s="62">
        <v>46146.625231481485</v>
      </c>
      <c r="C5" s="56" t="s">
        <v>273</v>
      </c>
      <c r="D5" s="56" t="s">
        <v>8</v>
      </c>
      <c r="E5" s="58">
        <v>-1.0</v>
      </c>
      <c r="F5" s="56" t="s">
        <v>479</v>
      </c>
      <c r="G5" s="56" t="s">
        <v>491</v>
      </c>
      <c r="H5" s="56" t="s">
        <v>401</v>
      </c>
      <c r="I5" s="56" t="s">
        <v>481</v>
      </c>
    </row>
    <row r="6">
      <c r="A6" s="56" t="s">
        <v>492</v>
      </c>
      <c r="B6" s="62">
        <v>46146.64642361111</v>
      </c>
      <c r="C6" s="56" t="s">
        <v>141</v>
      </c>
      <c r="D6" s="56" t="s">
        <v>8</v>
      </c>
      <c r="E6" s="58">
        <v>-1.0</v>
      </c>
      <c r="F6" s="56" t="s">
        <v>479</v>
      </c>
      <c r="G6" s="56" t="s">
        <v>493</v>
      </c>
      <c r="H6" s="56" t="s">
        <v>404</v>
      </c>
      <c r="I6" s="56" t="s">
        <v>481</v>
      </c>
    </row>
    <row r="7">
      <c r="A7" s="56" t="s">
        <v>494</v>
      </c>
      <c r="B7" s="62">
        <v>46146.64642361111</v>
      </c>
      <c r="C7" s="56" t="s">
        <v>55</v>
      </c>
      <c r="D7" s="56" t="s">
        <v>8</v>
      </c>
      <c r="E7" s="58">
        <v>-1.0</v>
      </c>
      <c r="F7" s="56" t="s">
        <v>479</v>
      </c>
      <c r="G7" s="56" t="s">
        <v>493</v>
      </c>
      <c r="H7" s="56" t="s">
        <v>404</v>
      </c>
      <c r="I7" s="56" t="s">
        <v>481</v>
      </c>
    </row>
    <row r="8">
      <c r="A8" s="56" t="s">
        <v>495</v>
      </c>
      <c r="B8" s="62">
        <v>46146.65215277778</v>
      </c>
      <c r="C8" s="56" t="s">
        <v>138</v>
      </c>
      <c r="D8" s="56" t="s">
        <v>10</v>
      </c>
      <c r="E8" s="58">
        <v>-1.0</v>
      </c>
      <c r="F8" s="56" t="s">
        <v>479</v>
      </c>
      <c r="G8" s="56" t="s">
        <v>496</v>
      </c>
      <c r="H8" s="56" t="s">
        <v>406</v>
      </c>
      <c r="I8" s="56" t="s">
        <v>481</v>
      </c>
    </row>
    <row r="9">
      <c r="A9" s="56" t="s">
        <v>497</v>
      </c>
      <c r="B9" s="62">
        <v>46146.65215277778</v>
      </c>
      <c r="C9" s="56" t="s">
        <v>180</v>
      </c>
      <c r="D9" s="56" t="s">
        <v>10</v>
      </c>
      <c r="E9" s="58">
        <v>-1.0</v>
      </c>
      <c r="F9" s="56" t="s">
        <v>479</v>
      </c>
      <c r="G9" s="56" t="s">
        <v>496</v>
      </c>
      <c r="H9" s="56" t="s">
        <v>406</v>
      </c>
      <c r="I9" s="56" t="s">
        <v>481</v>
      </c>
    </row>
    <row r="10">
      <c r="A10" s="56" t="s">
        <v>498</v>
      </c>
      <c r="B10" s="62">
        <v>46146.65215277778</v>
      </c>
      <c r="C10" s="56" t="s">
        <v>244</v>
      </c>
      <c r="D10" s="56" t="s">
        <v>10</v>
      </c>
      <c r="E10" s="58">
        <v>-1.0</v>
      </c>
      <c r="F10" s="56" t="s">
        <v>479</v>
      </c>
      <c r="G10" s="56" t="s">
        <v>496</v>
      </c>
      <c r="H10" s="56" t="s">
        <v>406</v>
      </c>
      <c r="I10" s="56" t="s">
        <v>481</v>
      </c>
    </row>
    <row r="11">
      <c r="A11" s="56" t="s">
        <v>499</v>
      </c>
      <c r="B11" s="62">
        <v>46146.653136574074</v>
      </c>
      <c r="C11" s="56" t="s">
        <v>55</v>
      </c>
      <c r="D11" s="56" t="s">
        <v>10</v>
      </c>
      <c r="E11" s="58">
        <v>-1.0</v>
      </c>
      <c r="F11" s="56" t="s">
        <v>479</v>
      </c>
      <c r="G11" s="56" t="s">
        <v>500</v>
      </c>
      <c r="H11" s="56" t="s">
        <v>408</v>
      </c>
      <c r="I11" s="56" t="s">
        <v>481</v>
      </c>
    </row>
    <row r="12">
      <c r="A12" s="56" t="s">
        <v>501</v>
      </c>
      <c r="B12" s="62">
        <v>46146.68130787037</v>
      </c>
      <c r="C12" s="56" t="s">
        <v>138</v>
      </c>
      <c r="D12" s="56" t="s">
        <v>9</v>
      </c>
      <c r="E12" s="58">
        <v>-1.0</v>
      </c>
      <c r="F12" s="56" t="s">
        <v>479</v>
      </c>
      <c r="G12" s="56" t="s">
        <v>502</v>
      </c>
      <c r="H12" s="56" t="s">
        <v>503</v>
      </c>
      <c r="I12" s="56" t="s">
        <v>481</v>
      </c>
    </row>
    <row r="13">
      <c r="A13" s="56" t="s">
        <v>504</v>
      </c>
      <c r="B13" s="62">
        <v>46146.682280092595</v>
      </c>
      <c r="C13" s="56" t="s">
        <v>138</v>
      </c>
      <c r="D13" s="56" t="s">
        <v>9</v>
      </c>
      <c r="E13" s="58">
        <v>1.0</v>
      </c>
      <c r="F13" s="56" t="s">
        <v>486</v>
      </c>
      <c r="G13" s="56" t="s">
        <v>505</v>
      </c>
      <c r="H13" s="56" t="s">
        <v>503</v>
      </c>
      <c r="I13" s="56" t="s">
        <v>481</v>
      </c>
    </row>
    <row r="14">
      <c r="A14" s="56" t="s">
        <v>506</v>
      </c>
      <c r="B14" s="62">
        <v>46146.68331018519</v>
      </c>
      <c r="C14" s="56" t="s">
        <v>138</v>
      </c>
      <c r="D14" s="56" t="s">
        <v>9</v>
      </c>
      <c r="E14" s="58">
        <v>-1.0</v>
      </c>
      <c r="F14" s="56" t="s">
        <v>479</v>
      </c>
      <c r="G14" s="56" t="s">
        <v>507</v>
      </c>
      <c r="H14" s="56" t="s">
        <v>409</v>
      </c>
      <c r="I14" s="56" t="s">
        <v>481</v>
      </c>
    </row>
    <row r="15">
      <c r="A15" s="56" t="s">
        <v>508</v>
      </c>
      <c r="B15" s="62">
        <v>46146.68649305555</v>
      </c>
      <c r="C15" s="56" t="s">
        <v>269</v>
      </c>
      <c r="D15" s="56" t="s">
        <v>7</v>
      </c>
      <c r="E15" s="58">
        <v>-1.0</v>
      </c>
      <c r="F15" s="56" t="s">
        <v>479</v>
      </c>
      <c r="G15" s="56" t="s">
        <v>509</v>
      </c>
      <c r="H15" s="56" t="s">
        <v>411</v>
      </c>
      <c r="I15" s="56" t="s">
        <v>481</v>
      </c>
    </row>
    <row r="16">
      <c r="A16" s="56" t="s">
        <v>510</v>
      </c>
      <c r="B16" s="62">
        <v>46148.593622685185</v>
      </c>
      <c r="C16" s="56" t="s">
        <v>166</v>
      </c>
      <c r="D16" s="56" t="s">
        <v>7</v>
      </c>
      <c r="E16" s="58">
        <v>-1.0</v>
      </c>
      <c r="F16" s="56" t="s">
        <v>479</v>
      </c>
      <c r="G16" s="56" t="s">
        <v>511</v>
      </c>
      <c r="H16" s="56" t="s">
        <v>414</v>
      </c>
      <c r="I16" s="56" t="s">
        <v>481</v>
      </c>
    </row>
    <row r="17">
      <c r="A17" s="56" t="s">
        <v>512</v>
      </c>
      <c r="B17" s="62">
        <v>46148.5991087963</v>
      </c>
      <c r="C17" s="56" t="s">
        <v>158</v>
      </c>
      <c r="D17" s="56" t="s">
        <v>7</v>
      </c>
      <c r="E17" s="58">
        <v>-1.0</v>
      </c>
      <c r="F17" s="56" t="s">
        <v>479</v>
      </c>
      <c r="G17" s="56" t="s">
        <v>513</v>
      </c>
      <c r="H17" s="56" t="s">
        <v>417</v>
      </c>
      <c r="I17" s="56" t="s">
        <v>481</v>
      </c>
    </row>
    <row r="18">
      <c r="A18" s="56" t="s">
        <v>514</v>
      </c>
      <c r="B18" s="62">
        <v>46148.60152777778</v>
      </c>
      <c r="C18" s="56" t="s">
        <v>158</v>
      </c>
      <c r="D18" s="56" t="s">
        <v>7</v>
      </c>
      <c r="E18" s="58">
        <v>1.0</v>
      </c>
      <c r="F18" s="56" t="s">
        <v>486</v>
      </c>
      <c r="G18" s="56" t="s">
        <v>515</v>
      </c>
      <c r="H18" s="56" t="s">
        <v>417</v>
      </c>
      <c r="I18" s="56" t="s">
        <v>481</v>
      </c>
    </row>
    <row r="19">
      <c r="A19" s="56" t="s">
        <v>516</v>
      </c>
      <c r="B19" s="62">
        <v>46148.60188657408</v>
      </c>
      <c r="C19" s="56" t="s">
        <v>166</v>
      </c>
      <c r="D19" s="56" t="s">
        <v>7</v>
      </c>
      <c r="E19" s="58">
        <v>1.0</v>
      </c>
      <c r="F19" s="56" t="s">
        <v>486</v>
      </c>
      <c r="G19" s="56" t="s">
        <v>517</v>
      </c>
      <c r="H19" s="56" t="s">
        <v>414</v>
      </c>
      <c r="I19" s="56" t="s">
        <v>481</v>
      </c>
    </row>
    <row r="20">
      <c r="A20" s="56" t="s">
        <v>518</v>
      </c>
      <c r="B20" s="62">
        <v>46148.60346064815</v>
      </c>
      <c r="C20" s="56" t="s">
        <v>166</v>
      </c>
      <c r="D20" s="56" t="s">
        <v>7</v>
      </c>
      <c r="E20" s="58">
        <v>-1.0</v>
      </c>
      <c r="F20" s="56" t="s">
        <v>479</v>
      </c>
      <c r="G20" s="56" t="s">
        <v>519</v>
      </c>
      <c r="H20" s="56" t="s">
        <v>418</v>
      </c>
      <c r="I20" s="56" t="s">
        <v>481</v>
      </c>
    </row>
    <row r="21">
      <c r="A21" s="56" t="s">
        <v>520</v>
      </c>
      <c r="B21" s="62">
        <v>46148.60671296297</v>
      </c>
      <c r="C21" s="56" t="s">
        <v>166</v>
      </c>
      <c r="D21" s="56" t="s">
        <v>7</v>
      </c>
      <c r="E21" s="58">
        <v>-1.0</v>
      </c>
      <c r="F21" s="56" t="s">
        <v>479</v>
      </c>
      <c r="G21" s="56" t="s">
        <v>521</v>
      </c>
      <c r="H21" s="56" t="s">
        <v>419</v>
      </c>
      <c r="I21" s="56" t="s">
        <v>481</v>
      </c>
    </row>
    <row r="22">
      <c r="A22" s="56" t="s">
        <v>522</v>
      </c>
      <c r="B22" s="62">
        <v>46148.60671296297</v>
      </c>
      <c r="C22" s="56" t="s">
        <v>158</v>
      </c>
      <c r="D22" s="56" t="s">
        <v>7</v>
      </c>
      <c r="E22" s="58">
        <v>-1.0</v>
      </c>
      <c r="F22" s="56" t="s">
        <v>479</v>
      </c>
      <c r="G22" s="56" t="s">
        <v>521</v>
      </c>
      <c r="H22" s="56" t="s">
        <v>419</v>
      </c>
      <c r="I22" s="56" t="s">
        <v>481</v>
      </c>
    </row>
    <row r="23">
      <c r="A23" s="56" t="s">
        <v>523</v>
      </c>
      <c r="B23" s="62">
        <v>46148.607523148145</v>
      </c>
      <c r="C23" s="56" t="s">
        <v>79</v>
      </c>
      <c r="D23" s="56" t="s">
        <v>7</v>
      </c>
      <c r="E23" s="58">
        <v>-1.0</v>
      </c>
      <c r="F23" s="56" t="s">
        <v>479</v>
      </c>
      <c r="G23" s="56" t="s">
        <v>524</v>
      </c>
      <c r="H23" s="56" t="s">
        <v>421</v>
      </c>
      <c r="I23" s="56" t="s">
        <v>481</v>
      </c>
    </row>
    <row r="24">
      <c r="A24" s="56" t="s">
        <v>525</v>
      </c>
      <c r="B24" s="62">
        <v>46148.61252314815</v>
      </c>
      <c r="C24" s="56" t="s">
        <v>124</v>
      </c>
      <c r="D24" s="56" t="s">
        <v>9</v>
      </c>
      <c r="E24" s="58">
        <v>-1.0</v>
      </c>
      <c r="F24" s="56" t="s">
        <v>479</v>
      </c>
      <c r="G24" s="56" t="s">
        <v>526</v>
      </c>
      <c r="H24" s="56" t="s">
        <v>423</v>
      </c>
      <c r="I24" s="56" t="s">
        <v>481</v>
      </c>
    </row>
    <row r="25">
      <c r="A25" s="56" t="s">
        <v>527</v>
      </c>
      <c r="B25" s="62">
        <v>46148.618425925924</v>
      </c>
      <c r="C25" s="56" t="s">
        <v>79</v>
      </c>
      <c r="D25" s="56" t="s">
        <v>7</v>
      </c>
      <c r="E25" s="58">
        <v>-1.0</v>
      </c>
      <c r="F25" s="56" t="s">
        <v>479</v>
      </c>
      <c r="G25" s="56" t="s">
        <v>528</v>
      </c>
      <c r="H25" s="56" t="s">
        <v>425</v>
      </c>
      <c r="I25" s="56" t="s">
        <v>481</v>
      </c>
    </row>
    <row r="26">
      <c r="A26" s="56" t="s">
        <v>529</v>
      </c>
      <c r="B26" s="62">
        <v>46148.61960648148</v>
      </c>
      <c r="C26" s="56" t="s">
        <v>79</v>
      </c>
      <c r="D26" s="56" t="s">
        <v>7</v>
      </c>
      <c r="E26" s="58">
        <v>-1.0</v>
      </c>
      <c r="F26" s="56" t="s">
        <v>479</v>
      </c>
      <c r="G26" s="56" t="s">
        <v>530</v>
      </c>
      <c r="H26" s="56" t="s">
        <v>427</v>
      </c>
      <c r="I26" s="56" t="s">
        <v>481</v>
      </c>
    </row>
    <row r="27">
      <c r="A27" s="56" t="s">
        <v>531</v>
      </c>
      <c r="B27" s="62">
        <v>46148.62091435185</v>
      </c>
      <c r="C27" s="56" t="s">
        <v>79</v>
      </c>
      <c r="D27" s="56" t="s">
        <v>7</v>
      </c>
      <c r="E27" s="58">
        <v>-1.0</v>
      </c>
      <c r="F27" s="56" t="s">
        <v>479</v>
      </c>
      <c r="G27" s="56" t="s">
        <v>532</v>
      </c>
      <c r="H27" s="56" t="s">
        <v>429</v>
      </c>
      <c r="I27" s="56" t="s">
        <v>481</v>
      </c>
    </row>
    <row r="28">
      <c r="A28" s="56" t="s">
        <v>533</v>
      </c>
      <c r="B28" s="62">
        <v>46148.62179398148</v>
      </c>
      <c r="C28" s="56" t="s">
        <v>269</v>
      </c>
      <c r="D28" s="56" t="s">
        <v>7</v>
      </c>
      <c r="E28" s="58">
        <v>-1.0</v>
      </c>
      <c r="F28" s="56" t="s">
        <v>479</v>
      </c>
      <c r="G28" s="56" t="s">
        <v>534</v>
      </c>
      <c r="H28" s="56" t="s">
        <v>430</v>
      </c>
      <c r="I28" s="56" t="s">
        <v>481</v>
      </c>
    </row>
    <row r="29">
      <c r="A29" s="56" t="s">
        <v>535</v>
      </c>
      <c r="B29" s="62">
        <v>46148.624074074076</v>
      </c>
      <c r="C29" s="56" t="s">
        <v>269</v>
      </c>
      <c r="D29" s="56" t="s">
        <v>7</v>
      </c>
      <c r="E29" s="58">
        <v>-1.0</v>
      </c>
      <c r="F29" s="56" t="s">
        <v>479</v>
      </c>
      <c r="G29" s="56" t="s">
        <v>536</v>
      </c>
      <c r="H29" s="56" t="s">
        <v>431</v>
      </c>
      <c r="I29" s="56" t="s">
        <v>481</v>
      </c>
    </row>
    <row r="30">
      <c r="A30" s="56" t="s">
        <v>537</v>
      </c>
      <c r="B30" s="62">
        <v>46148.62466435185</v>
      </c>
      <c r="C30" s="56" t="s">
        <v>79</v>
      </c>
      <c r="D30" s="56" t="s">
        <v>7</v>
      </c>
      <c r="E30" s="58">
        <v>-1.0</v>
      </c>
      <c r="F30" s="56" t="s">
        <v>479</v>
      </c>
      <c r="G30" s="56" t="s">
        <v>538</v>
      </c>
      <c r="H30" s="56" t="s">
        <v>432</v>
      </c>
      <c r="I30" s="56" t="s">
        <v>481</v>
      </c>
    </row>
    <row r="31">
      <c r="A31" s="56" t="s">
        <v>539</v>
      </c>
      <c r="B31" s="62">
        <v>46149.679618055554</v>
      </c>
      <c r="C31" s="56" t="s">
        <v>130</v>
      </c>
      <c r="D31" s="56" t="s">
        <v>7</v>
      </c>
      <c r="E31" s="58">
        <v>-1.0</v>
      </c>
      <c r="F31" s="56" t="s">
        <v>479</v>
      </c>
      <c r="G31" s="56" t="s">
        <v>540</v>
      </c>
      <c r="H31" s="56" t="s">
        <v>433</v>
      </c>
      <c r="I31" s="56" t="s">
        <v>398</v>
      </c>
    </row>
    <row r="32">
      <c r="A32" s="56" t="s">
        <v>541</v>
      </c>
      <c r="B32" s="62">
        <v>46149.680393518516</v>
      </c>
      <c r="C32" s="56" t="s">
        <v>130</v>
      </c>
      <c r="D32" s="56" t="s">
        <v>8</v>
      </c>
      <c r="E32" s="58">
        <v>-1.0</v>
      </c>
      <c r="F32" s="56" t="s">
        <v>479</v>
      </c>
      <c r="G32" s="56" t="s">
        <v>542</v>
      </c>
      <c r="H32" s="56" t="s">
        <v>435</v>
      </c>
      <c r="I32" s="56" t="s">
        <v>398</v>
      </c>
    </row>
    <row r="33">
      <c r="A33" s="56" t="s">
        <v>543</v>
      </c>
      <c r="B33" s="62">
        <v>46149.69480324074</v>
      </c>
      <c r="C33" s="56" t="s">
        <v>130</v>
      </c>
      <c r="D33" s="56" t="s">
        <v>9</v>
      </c>
      <c r="E33" s="58">
        <v>-1.0</v>
      </c>
      <c r="F33" s="56" t="s">
        <v>479</v>
      </c>
      <c r="G33" s="56" t="s">
        <v>544</v>
      </c>
      <c r="H33" s="56" t="s">
        <v>437</v>
      </c>
      <c r="I33" s="56" t="s">
        <v>398</v>
      </c>
    </row>
    <row r="34">
      <c r="A34" s="56" t="s">
        <v>545</v>
      </c>
      <c r="B34" s="62">
        <v>46149.69548611111</v>
      </c>
      <c r="C34" s="56" t="s">
        <v>130</v>
      </c>
      <c r="D34" s="56" t="s">
        <v>9</v>
      </c>
      <c r="E34" s="58">
        <v>-1.0</v>
      </c>
      <c r="F34" s="56" t="s">
        <v>479</v>
      </c>
      <c r="G34" s="56" t="s">
        <v>546</v>
      </c>
      <c r="H34" s="56" t="s">
        <v>439</v>
      </c>
      <c r="I34" s="56" t="s">
        <v>398</v>
      </c>
    </row>
    <row r="35">
      <c r="A35" s="56" t="s">
        <v>547</v>
      </c>
      <c r="B35" s="62">
        <v>46149.69663194445</v>
      </c>
      <c r="C35" s="56" t="s">
        <v>249</v>
      </c>
      <c r="D35" s="56" t="s">
        <v>10</v>
      </c>
      <c r="E35" s="58">
        <v>-1.0</v>
      </c>
      <c r="F35" s="56" t="s">
        <v>479</v>
      </c>
      <c r="G35" s="56" t="s">
        <v>548</v>
      </c>
      <c r="H35" s="56" t="s">
        <v>441</v>
      </c>
      <c r="I35" s="56" t="s">
        <v>398</v>
      </c>
    </row>
    <row r="36">
      <c r="A36" s="56" t="s">
        <v>549</v>
      </c>
      <c r="B36" s="62">
        <v>46149.69857638889</v>
      </c>
      <c r="C36" s="56" t="s">
        <v>27</v>
      </c>
      <c r="D36" s="56" t="s">
        <v>7</v>
      </c>
      <c r="E36" s="58">
        <v>-1.0</v>
      </c>
      <c r="F36" s="56" t="s">
        <v>479</v>
      </c>
      <c r="G36" s="56" t="s">
        <v>550</v>
      </c>
      <c r="H36" s="56" t="s">
        <v>443</v>
      </c>
      <c r="I36" s="56" t="s">
        <v>398</v>
      </c>
    </row>
    <row r="37">
      <c r="A37" s="56" t="s">
        <v>551</v>
      </c>
      <c r="B37" s="62">
        <v>46149.69857638889</v>
      </c>
      <c r="C37" s="56" t="s">
        <v>127</v>
      </c>
      <c r="D37" s="56" t="s">
        <v>7</v>
      </c>
      <c r="E37" s="58">
        <v>-1.0</v>
      </c>
      <c r="F37" s="56" t="s">
        <v>479</v>
      </c>
      <c r="G37" s="56" t="s">
        <v>550</v>
      </c>
      <c r="H37" s="56" t="s">
        <v>443</v>
      </c>
      <c r="I37" s="56" t="s">
        <v>398</v>
      </c>
    </row>
    <row r="38">
      <c r="A38" s="56" t="s">
        <v>552</v>
      </c>
      <c r="B38" s="62">
        <v>46149.698912037034</v>
      </c>
      <c r="C38" s="56" t="s">
        <v>553</v>
      </c>
      <c r="D38" s="56" t="s">
        <v>7</v>
      </c>
      <c r="E38" s="58">
        <v>-2.0</v>
      </c>
      <c r="F38" s="56" t="s">
        <v>479</v>
      </c>
      <c r="G38" s="56" t="s">
        <v>554</v>
      </c>
      <c r="H38" s="56" t="s">
        <v>555</v>
      </c>
      <c r="I38" s="56" t="s">
        <v>556</v>
      </c>
    </row>
    <row r="39">
      <c r="A39" s="56" t="s">
        <v>557</v>
      </c>
      <c r="B39" s="62">
        <v>46149.70056712963</v>
      </c>
      <c r="C39" s="56" t="s">
        <v>553</v>
      </c>
      <c r="D39" s="56" t="s">
        <v>9</v>
      </c>
      <c r="E39" s="58">
        <v>2.0</v>
      </c>
      <c r="F39" s="56" t="s">
        <v>558</v>
      </c>
      <c r="G39" s="56" t="s">
        <v>559</v>
      </c>
      <c r="H39" s="56" t="s">
        <v>560</v>
      </c>
      <c r="I39" s="56" t="s">
        <v>556</v>
      </c>
    </row>
    <row r="40">
      <c r="A40" s="56" t="s">
        <v>561</v>
      </c>
      <c r="B40" s="62">
        <v>46149.701875</v>
      </c>
      <c r="C40" s="56" t="s">
        <v>130</v>
      </c>
      <c r="D40" s="56" t="s">
        <v>9</v>
      </c>
      <c r="E40" s="58">
        <v>-1.0</v>
      </c>
      <c r="F40" s="56" t="s">
        <v>479</v>
      </c>
      <c r="G40" s="56" t="s">
        <v>562</v>
      </c>
      <c r="H40" s="56" t="s">
        <v>445</v>
      </c>
      <c r="I40" s="56" t="s">
        <v>398</v>
      </c>
    </row>
    <row r="41">
      <c r="A41" s="56" t="s">
        <v>563</v>
      </c>
      <c r="B41" s="62">
        <v>46149.701875</v>
      </c>
      <c r="C41" s="56" t="s">
        <v>136</v>
      </c>
      <c r="D41" s="56" t="s">
        <v>8</v>
      </c>
      <c r="E41" s="58">
        <v>-1.0</v>
      </c>
      <c r="F41" s="56" t="s">
        <v>479</v>
      </c>
      <c r="G41" s="56" t="s">
        <v>562</v>
      </c>
      <c r="H41" s="56" t="s">
        <v>445</v>
      </c>
      <c r="I41" s="56" t="s">
        <v>398</v>
      </c>
    </row>
    <row r="42">
      <c r="A42" s="56" t="s">
        <v>564</v>
      </c>
      <c r="B42" s="62">
        <v>46149.70469907407</v>
      </c>
      <c r="C42" s="56" t="s">
        <v>166</v>
      </c>
      <c r="D42" s="56" t="s">
        <v>9</v>
      </c>
      <c r="E42" s="58">
        <v>-1.0</v>
      </c>
      <c r="F42" s="56" t="s">
        <v>479</v>
      </c>
      <c r="G42" s="56" t="s">
        <v>565</v>
      </c>
      <c r="H42" s="56" t="s">
        <v>446</v>
      </c>
      <c r="I42" s="56" t="s">
        <v>398</v>
      </c>
    </row>
    <row r="43">
      <c r="A43" s="56" t="s">
        <v>566</v>
      </c>
      <c r="B43" s="62">
        <v>46149.70469907407</v>
      </c>
      <c r="C43" s="56" t="s">
        <v>124</v>
      </c>
      <c r="D43" s="56" t="s">
        <v>7</v>
      </c>
      <c r="E43" s="58">
        <v>-1.0</v>
      </c>
      <c r="F43" s="56" t="s">
        <v>479</v>
      </c>
      <c r="G43" s="56" t="s">
        <v>565</v>
      </c>
      <c r="H43" s="56" t="s">
        <v>446</v>
      </c>
      <c r="I43" s="56" t="s">
        <v>398</v>
      </c>
    </row>
    <row r="44">
      <c r="A44" s="56" t="s">
        <v>567</v>
      </c>
      <c r="B44" s="62">
        <v>46149.70469907407</v>
      </c>
      <c r="C44" s="56" t="s">
        <v>17</v>
      </c>
      <c r="D44" s="56" t="s">
        <v>8</v>
      </c>
      <c r="E44" s="58">
        <v>-1.0</v>
      </c>
      <c r="F44" s="56" t="s">
        <v>479</v>
      </c>
      <c r="G44" s="56" t="s">
        <v>565</v>
      </c>
      <c r="H44" s="56" t="s">
        <v>446</v>
      </c>
      <c r="I44" s="56" t="s">
        <v>398</v>
      </c>
    </row>
    <row r="45">
      <c r="A45" s="56" t="s">
        <v>568</v>
      </c>
      <c r="B45" s="62">
        <v>46149.711851851855</v>
      </c>
      <c r="C45" s="56" t="s">
        <v>138</v>
      </c>
      <c r="D45" s="56" t="s">
        <v>10</v>
      </c>
      <c r="E45" s="58">
        <v>-1.0</v>
      </c>
      <c r="F45" s="56" t="s">
        <v>479</v>
      </c>
      <c r="G45" s="56" t="s">
        <v>569</v>
      </c>
      <c r="H45" s="56" t="s">
        <v>448</v>
      </c>
      <c r="I45" s="56" t="s">
        <v>398</v>
      </c>
    </row>
    <row r="46">
      <c r="A46" s="56" t="s">
        <v>570</v>
      </c>
      <c r="B46" s="62">
        <v>46149.711851851855</v>
      </c>
      <c r="C46" s="56" t="s">
        <v>136</v>
      </c>
      <c r="D46" s="56" t="s">
        <v>10</v>
      </c>
      <c r="E46" s="58">
        <v>-1.0</v>
      </c>
      <c r="F46" s="56" t="s">
        <v>479</v>
      </c>
      <c r="G46" s="56" t="s">
        <v>569</v>
      </c>
      <c r="H46" s="56" t="s">
        <v>448</v>
      </c>
      <c r="I46" s="56" t="s">
        <v>398</v>
      </c>
    </row>
    <row r="47">
      <c r="A47" s="56" t="s">
        <v>571</v>
      </c>
      <c r="B47" s="62">
        <v>46149.711851851855</v>
      </c>
      <c r="C47" s="56" t="s">
        <v>21</v>
      </c>
      <c r="D47" s="56" t="s">
        <v>8</v>
      </c>
      <c r="E47" s="58">
        <v>-1.0</v>
      </c>
      <c r="F47" s="56" t="s">
        <v>479</v>
      </c>
      <c r="G47" s="56" t="s">
        <v>569</v>
      </c>
      <c r="H47" s="56" t="s">
        <v>448</v>
      </c>
      <c r="I47" s="56" t="s">
        <v>398</v>
      </c>
    </row>
    <row r="48">
      <c r="A48" s="56" t="s">
        <v>572</v>
      </c>
      <c r="B48" s="62">
        <v>46149.711851851855</v>
      </c>
      <c r="C48" s="56" t="s">
        <v>17</v>
      </c>
      <c r="D48" s="56" t="s">
        <v>9</v>
      </c>
      <c r="E48" s="58">
        <v>-1.0</v>
      </c>
      <c r="F48" s="56" t="s">
        <v>479</v>
      </c>
      <c r="G48" s="56" t="s">
        <v>569</v>
      </c>
      <c r="H48" s="56" t="s">
        <v>448</v>
      </c>
      <c r="I48" s="56" t="s">
        <v>398</v>
      </c>
    </row>
    <row r="49">
      <c r="A49" s="56" t="s">
        <v>573</v>
      </c>
      <c r="B49" s="62">
        <v>46149.711851851855</v>
      </c>
      <c r="C49" s="56" t="s">
        <v>25</v>
      </c>
      <c r="D49" s="56" t="s">
        <v>9</v>
      </c>
      <c r="E49" s="58">
        <v>-1.0</v>
      </c>
      <c r="F49" s="56" t="s">
        <v>479</v>
      </c>
      <c r="G49" s="56" t="s">
        <v>569</v>
      </c>
      <c r="H49" s="56" t="s">
        <v>448</v>
      </c>
      <c r="I49" s="56" t="s">
        <v>398</v>
      </c>
    </row>
    <row r="50">
      <c r="A50" s="56" t="s">
        <v>574</v>
      </c>
      <c r="B50" s="62">
        <v>46149.711851851855</v>
      </c>
      <c r="C50" s="56" t="s">
        <v>23</v>
      </c>
      <c r="D50" s="56" t="s">
        <v>9</v>
      </c>
      <c r="E50" s="58">
        <v>-1.0</v>
      </c>
      <c r="F50" s="56" t="s">
        <v>479</v>
      </c>
      <c r="G50" s="56" t="s">
        <v>569</v>
      </c>
      <c r="H50" s="56" t="s">
        <v>448</v>
      </c>
      <c r="I50" s="56" t="s">
        <v>398</v>
      </c>
    </row>
    <row r="51">
      <c r="A51" s="56" t="s">
        <v>575</v>
      </c>
      <c r="B51" s="62">
        <v>46149.711851851855</v>
      </c>
      <c r="C51" s="56" t="s">
        <v>127</v>
      </c>
      <c r="D51" s="56" t="s">
        <v>8</v>
      </c>
      <c r="E51" s="58">
        <v>-1.0</v>
      </c>
      <c r="F51" s="56" t="s">
        <v>479</v>
      </c>
      <c r="G51" s="56" t="s">
        <v>569</v>
      </c>
      <c r="H51" s="56" t="s">
        <v>448</v>
      </c>
      <c r="I51" s="56" t="s">
        <v>398</v>
      </c>
    </row>
    <row r="52">
      <c r="A52" s="56" t="s">
        <v>576</v>
      </c>
      <c r="B52" s="62">
        <v>46149.712916666664</v>
      </c>
      <c r="C52" s="56" t="s">
        <v>249</v>
      </c>
      <c r="D52" s="56" t="s">
        <v>9</v>
      </c>
      <c r="E52" s="58">
        <v>-1.0</v>
      </c>
      <c r="F52" s="56" t="s">
        <v>479</v>
      </c>
      <c r="G52" s="56" t="s">
        <v>577</v>
      </c>
      <c r="H52" s="56" t="s">
        <v>449</v>
      </c>
      <c r="I52" s="56" t="s">
        <v>398</v>
      </c>
    </row>
    <row r="53">
      <c r="A53" s="56" t="s">
        <v>578</v>
      </c>
      <c r="B53" s="62">
        <v>46149.712916666664</v>
      </c>
      <c r="C53" s="56" t="s">
        <v>166</v>
      </c>
      <c r="D53" s="56" t="s">
        <v>9</v>
      </c>
      <c r="E53" s="58">
        <v>-1.0</v>
      </c>
      <c r="F53" s="56" t="s">
        <v>479</v>
      </c>
      <c r="G53" s="56" t="s">
        <v>577</v>
      </c>
      <c r="H53" s="56" t="s">
        <v>449</v>
      </c>
      <c r="I53" s="56" t="s">
        <v>398</v>
      </c>
    </row>
    <row r="54">
      <c r="A54" s="56" t="s">
        <v>579</v>
      </c>
      <c r="B54" s="62">
        <v>46149.72190972222</v>
      </c>
      <c r="C54" s="56" t="s">
        <v>200</v>
      </c>
      <c r="D54" s="56" t="s">
        <v>10</v>
      </c>
      <c r="E54" s="58">
        <v>-1.0</v>
      </c>
      <c r="F54" s="56" t="s">
        <v>479</v>
      </c>
      <c r="G54" s="56" t="s">
        <v>580</v>
      </c>
      <c r="H54" s="56" t="s">
        <v>451</v>
      </c>
      <c r="I54" s="56" t="s">
        <v>398</v>
      </c>
    </row>
    <row r="55">
      <c r="A55" s="56" t="s">
        <v>581</v>
      </c>
      <c r="B55" s="62">
        <v>46149.72190972222</v>
      </c>
      <c r="C55" s="56" t="s">
        <v>60</v>
      </c>
      <c r="D55" s="56" t="s">
        <v>10</v>
      </c>
      <c r="E55" s="58">
        <v>-1.0</v>
      </c>
      <c r="F55" s="56" t="s">
        <v>479</v>
      </c>
      <c r="G55" s="56" t="s">
        <v>580</v>
      </c>
      <c r="H55" s="56" t="s">
        <v>451</v>
      </c>
      <c r="I55" s="56" t="s">
        <v>398</v>
      </c>
    </row>
    <row r="56">
      <c r="A56" s="56" t="s">
        <v>582</v>
      </c>
      <c r="B56" s="62">
        <v>46149.72190972222</v>
      </c>
      <c r="C56" s="56" t="s">
        <v>210</v>
      </c>
      <c r="D56" s="56" t="s">
        <v>10</v>
      </c>
      <c r="E56" s="58">
        <v>-1.0</v>
      </c>
      <c r="F56" s="56" t="s">
        <v>479</v>
      </c>
      <c r="G56" s="56" t="s">
        <v>580</v>
      </c>
      <c r="H56" s="56" t="s">
        <v>451</v>
      </c>
      <c r="I56" s="56" t="s">
        <v>398</v>
      </c>
    </row>
    <row r="57">
      <c r="A57" s="56" t="s">
        <v>583</v>
      </c>
      <c r="B57" s="62">
        <v>46149.72190972222</v>
      </c>
      <c r="C57" s="56" t="s">
        <v>190</v>
      </c>
      <c r="D57" s="56" t="s">
        <v>10</v>
      </c>
      <c r="E57" s="58">
        <v>-1.0</v>
      </c>
      <c r="F57" s="56" t="s">
        <v>479</v>
      </c>
      <c r="G57" s="56" t="s">
        <v>580</v>
      </c>
      <c r="H57" s="56" t="s">
        <v>451</v>
      </c>
      <c r="I57" s="56" t="s">
        <v>398</v>
      </c>
    </row>
    <row r="58">
      <c r="A58" s="56" t="s">
        <v>584</v>
      </c>
      <c r="B58" s="62">
        <v>46149.72190972222</v>
      </c>
      <c r="C58" s="56" t="s">
        <v>152</v>
      </c>
      <c r="D58" s="56" t="s">
        <v>10</v>
      </c>
      <c r="E58" s="58">
        <v>-1.0</v>
      </c>
      <c r="F58" s="56" t="s">
        <v>479</v>
      </c>
      <c r="G58" s="56" t="s">
        <v>580</v>
      </c>
      <c r="H58" s="56" t="s">
        <v>451</v>
      </c>
      <c r="I58" s="56" t="s">
        <v>398</v>
      </c>
    </row>
    <row r="59">
      <c r="A59" s="56" t="s">
        <v>585</v>
      </c>
      <c r="B59" s="62">
        <v>46149.723958333336</v>
      </c>
      <c r="C59" s="56" t="s">
        <v>130</v>
      </c>
      <c r="D59" s="56" t="s">
        <v>9</v>
      </c>
      <c r="E59" s="58">
        <v>-1.0</v>
      </c>
      <c r="F59" s="56" t="s">
        <v>479</v>
      </c>
      <c r="G59" s="56" t="s">
        <v>586</v>
      </c>
      <c r="H59" s="56" t="s">
        <v>452</v>
      </c>
      <c r="I59" s="56" t="s">
        <v>398</v>
      </c>
    </row>
    <row r="60">
      <c r="A60" s="56" t="s">
        <v>587</v>
      </c>
      <c r="B60" s="62">
        <v>46149.723958333336</v>
      </c>
      <c r="C60" s="56" t="s">
        <v>124</v>
      </c>
      <c r="D60" s="56" t="s">
        <v>10</v>
      </c>
      <c r="E60" s="58">
        <v>-1.0</v>
      </c>
      <c r="F60" s="56" t="s">
        <v>479</v>
      </c>
      <c r="G60" s="56" t="s">
        <v>586</v>
      </c>
      <c r="H60" s="56" t="s">
        <v>452</v>
      </c>
      <c r="I60" s="56" t="s">
        <v>398</v>
      </c>
    </row>
    <row r="61">
      <c r="A61" s="56" t="s">
        <v>588</v>
      </c>
      <c r="B61" s="62">
        <v>46149.72446759259</v>
      </c>
      <c r="C61" s="56" t="s">
        <v>170</v>
      </c>
      <c r="D61" s="56" t="s">
        <v>7</v>
      </c>
      <c r="E61" s="58">
        <v>-1.0</v>
      </c>
      <c r="F61" s="56" t="s">
        <v>479</v>
      </c>
      <c r="G61" s="56" t="s">
        <v>589</v>
      </c>
      <c r="H61" s="56" t="s">
        <v>454</v>
      </c>
      <c r="I61" s="56" t="s">
        <v>398</v>
      </c>
    </row>
    <row r="62">
      <c r="A62" s="56" t="s">
        <v>590</v>
      </c>
      <c r="B62" s="62">
        <v>46149.74428240741</v>
      </c>
      <c r="C62" s="56" t="s">
        <v>145</v>
      </c>
      <c r="D62" s="56" t="s">
        <v>7</v>
      </c>
      <c r="E62" s="58">
        <v>-1.0</v>
      </c>
      <c r="F62" s="56" t="s">
        <v>479</v>
      </c>
      <c r="G62" s="56" t="s">
        <v>591</v>
      </c>
      <c r="H62" s="56" t="s">
        <v>456</v>
      </c>
      <c r="I62" s="56" t="s">
        <v>398</v>
      </c>
    </row>
    <row r="63">
      <c r="A63" s="56" t="s">
        <v>592</v>
      </c>
      <c r="B63" s="62">
        <v>46149.74493055556</v>
      </c>
      <c r="C63" s="56" t="s">
        <v>124</v>
      </c>
      <c r="D63" s="56" t="s">
        <v>7</v>
      </c>
      <c r="E63" s="58">
        <v>-1.0</v>
      </c>
      <c r="F63" s="56" t="s">
        <v>479</v>
      </c>
      <c r="G63" s="56" t="s">
        <v>593</v>
      </c>
      <c r="H63" s="56" t="s">
        <v>458</v>
      </c>
      <c r="I63" s="56" t="s">
        <v>398</v>
      </c>
    </row>
    <row r="64">
      <c r="A64" s="56" t="s">
        <v>594</v>
      </c>
      <c r="B64" s="62">
        <v>46149.75019675926</v>
      </c>
      <c r="C64" s="56" t="s">
        <v>285</v>
      </c>
      <c r="D64" s="56" t="s">
        <v>8</v>
      </c>
      <c r="E64" s="58">
        <v>-1.0</v>
      </c>
      <c r="F64" s="56" t="s">
        <v>479</v>
      </c>
      <c r="G64" s="56" t="s">
        <v>595</v>
      </c>
      <c r="H64" s="56" t="s">
        <v>460</v>
      </c>
      <c r="I64" s="56" t="s">
        <v>398</v>
      </c>
    </row>
    <row r="65">
      <c r="A65" s="56" t="s">
        <v>596</v>
      </c>
      <c r="B65" s="62">
        <v>46149.75310185185</v>
      </c>
      <c r="C65" s="56" t="s">
        <v>145</v>
      </c>
      <c r="D65" s="56" t="s">
        <v>7</v>
      </c>
      <c r="E65" s="58">
        <v>-1.0</v>
      </c>
      <c r="F65" s="56" t="s">
        <v>479</v>
      </c>
      <c r="G65" s="56" t="s">
        <v>597</v>
      </c>
      <c r="H65" s="56" t="s">
        <v>462</v>
      </c>
      <c r="I65" s="56" t="s">
        <v>398</v>
      </c>
    </row>
    <row r="66">
      <c r="A66" s="56" t="s">
        <v>598</v>
      </c>
      <c r="B66" s="62">
        <v>46149.75423611111</v>
      </c>
      <c r="C66" s="56" t="s">
        <v>145</v>
      </c>
      <c r="D66" s="56" t="s">
        <v>9</v>
      </c>
      <c r="E66" s="58">
        <v>-1.0</v>
      </c>
      <c r="F66" s="56" t="s">
        <v>479</v>
      </c>
      <c r="G66" s="56" t="s">
        <v>599</v>
      </c>
      <c r="H66" s="56" t="s">
        <v>463</v>
      </c>
      <c r="I66" s="56" t="s">
        <v>398</v>
      </c>
    </row>
    <row r="67">
      <c r="A67" s="56" t="s">
        <v>600</v>
      </c>
      <c r="B67" s="62">
        <v>46149.75486111111</v>
      </c>
      <c r="C67" s="56" t="s">
        <v>75</v>
      </c>
      <c r="D67" s="56" t="s">
        <v>7</v>
      </c>
      <c r="E67" s="58">
        <v>-1.0</v>
      </c>
      <c r="F67" s="56" t="s">
        <v>479</v>
      </c>
      <c r="G67" s="56" t="s">
        <v>601</v>
      </c>
      <c r="H67" s="56" t="s">
        <v>602</v>
      </c>
      <c r="I67" s="56" t="s">
        <v>398</v>
      </c>
    </row>
    <row r="68">
      <c r="A68" s="56" t="s">
        <v>603</v>
      </c>
      <c r="B68" s="62">
        <v>46149.7559837963</v>
      </c>
      <c r="C68" s="56" t="s">
        <v>280</v>
      </c>
      <c r="D68" s="56" t="s">
        <v>10</v>
      </c>
      <c r="E68" s="58">
        <v>-1.0</v>
      </c>
      <c r="F68" s="56" t="s">
        <v>479</v>
      </c>
      <c r="G68" s="56" t="s">
        <v>604</v>
      </c>
      <c r="H68" s="56" t="s">
        <v>465</v>
      </c>
      <c r="I68" s="56" t="s">
        <v>398</v>
      </c>
    </row>
    <row r="69">
      <c r="A69" s="56" t="s">
        <v>605</v>
      </c>
      <c r="B69" s="62">
        <v>46149.7559837963</v>
      </c>
      <c r="C69" s="56" t="s">
        <v>138</v>
      </c>
      <c r="D69" s="56" t="s">
        <v>10</v>
      </c>
      <c r="E69" s="58">
        <v>-1.0</v>
      </c>
      <c r="F69" s="56" t="s">
        <v>479</v>
      </c>
      <c r="G69" s="56" t="s">
        <v>604</v>
      </c>
      <c r="H69" s="56" t="s">
        <v>465</v>
      </c>
      <c r="I69" s="56" t="s">
        <v>398</v>
      </c>
    </row>
    <row r="70">
      <c r="A70" s="56" t="s">
        <v>606</v>
      </c>
      <c r="B70" s="62">
        <v>46149.7559837963</v>
      </c>
      <c r="C70" s="56" t="s">
        <v>127</v>
      </c>
      <c r="D70" s="56" t="s">
        <v>10</v>
      </c>
      <c r="E70" s="58">
        <v>-1.0</v>
      </c>
      <c r="F70" s="56" t="s">
        <v>479</v>
      </c>
      <c r="G70" s="56" t="s">
        <v>604</v>
      </c>
      <c r="H70" s="56" t="s">
        <v>465</v>
      </c>
      <c r="I70" s="56" t="s">
        <v>398</v>
      </c>
    </row>
    <row r="71">
      <c r="A71" s="56" t="s">
        <v>607</v>
      </c>
      <c r="B71" s="62">
        <v>46150.621296296296</v>
      </c>
      <c r="C71" s="56" t="s">
        <v>293</v>
      </c>
      <c r="D71" s="56" t="s">
        <v>7</v>
      </c>
      <c r="E71" s="58">
        <v>2.0</v>
      </c>
      <c r="F71" s="56" t="s">
        <v>608</v>
      </c>
      <c r="G71" s="56" t="s">
        <v>609</v>
      </c>
      <c r="I71" s="56" t="s">
        <v>398</v>
      </c>
    </row>
    <row r="72">
      <c r="A72" s="56" t="s">
        <v>610</v>
      </c>
      <c r="B72" s="62">
        <v>46150.621296296296</v>
      </c>
      <c r="C72" s="56" t="s">
        <v>293</v>
      </c>
      <c r="D72" s="56" t="s">
        <v>8</v>
      </c>
      <c r="E72" s="58">
        <v>3.0</v>
      </c>
      <c r="F72" s="56" t="s">
        <v>608</v>
      </c>
      <c r="G72" s="56" t="s">
        <v>609</v>
      </c>
      <c r="I72" s="56" t="s">
        <v>398</v>
      </c>
    </row>
    <row r="73">
      <c r="A73" s="56" t="s">
        <v>611</v>
      </c>
      <c r="B73" s="62">
        <v>46150.621296296296</v>
      </c>
      <c r="C73" s="56" t="s">
        <v>293</v>
      </c>
      <c r="D73" s="56" t="s">
        <v>9</v>
      </c>
      <c r="E73" s="58">
        <v>4.0</v>
      </c>
      <c r="F73" s="56" t="s">
        <v>608</v>
      </c>
      <c r="G73" s="56" t="s">
        <v>609</v>
      </c>
      <c r="I73" s="56" t="s">
        <v>398</v>
      </c>
    </row>
    <row r="74">
      <c r="A74" s="56" t="s">
        <v>612</v>
      </c>
      <c r="B74" s="62">
        <v>46150.621296296296</v>
      </c>
      <c r="C74" s="56" t="s">
        <v>293</v>
      </c>
      <c r="D74" s="56" t="s">
        <v>10</v>
      </c>
      <c r="E74" s="58">
        <v>1.0</v>
      </c>
      <c r="F74" s="56" t="s">
        <v>608</v>
      </c>
      <c r="G74" s="56" t="s">
        <v>609</v>
      </c>
      <c r="I74" s="56" t="s">
        <v>398</v>
      </c>
    </row>
    <row r="75">
      <c r="A75" s="56" t="s">
        <v>613</v>
      </c>
      <c r="B75" s="62">
        <v>46150.62247685185</v>
      </c>
      <c r="C75" s="56" t="s">
        <v>293</v>
      </c>
      <c r="D75" s="56" t="s">
        <v>7</v>
      </c>
      <c r="E75" s="58">
        <v>-2.0</v>
      </c>
      <c r="F75" s="56" t="s">
        <v>614</v>
      </c>
      <c r="G75" s="56" t="s">
        <v>615</v>
      </c>
      <c r="I75" s="56" t="s">
        <v>398</v>
      </c>
    </row>
    <row r="76">
      <c r="A76" s="56" t="s">
        <v>616</v>
      </c>
      <c r="B76" s="62">
        <v>46150.62247685185</v>
      </c>
      <c r="C76" s="56" t="s">
        <v>293</v>
      </c>
      <c r="D76" s="56" t="s">
        <v>8</v>
      </c>
      <c r="E76" s="58">
        <v>-6.0</v>
      </c>
      <c r="F76" s="56" t="s">
        <v>614</v>
      </c>
      <c r="G76" s="56" t="s">
        <v>615</v>
      </c>
      <c r="I76" s="56" t="s">
        <v>398</v>
      </c>
    </row>
    <row r="77">
      <c r="A77" s="56" t="s">
        <v>617</v>
      </c>
      <c r="B77" s="62">
        <v>46150.62247685185</v>
      </c>
      <c r="C77" s="56" t="s">
        <v>293</v>
      </c>
      <c r="D77" s="56" t="s">
        <v>9</v>
      </c>
      <c r="E77" s="58">
        <v>-4.0</v>
      </c>
      <c r="F77" s="56" t="s">
        <v>614</v>
      </c>
      <c r="G77" s="56" t="s">
        <v>615</v>
      </c>
      <c r="I77" s="56" t="s">
        <v>398</v>
      </c>
    </row>
    <row r="78">
      <c r="A78" s="56" t="s">
        <v>618</v>
      </c>
      <c r="B78" s="62">
        <v>46150.62247685185</v>
      </c>
      <c r="C78" s="56" t="s">
        <v>293</v>
      </c>
      <c r="D78" s="56" t="s">
        <v>10</v>
      </c>
      <c r="E78" s="58">
        <v>-1.0</v>
      </c>
      <c r="F78" s="56" t="s">
        <v>614</v>
      </c>
      <c r="G78" s="56" t="s">
        <v>615</v>
      </c>
      <c r="I78" s="56" t="s">
        <v>398</v>
      </c>
    </row>
    <row r="79">
      <c r="A79" s="56" t="s">
        <v>619</v>
      </c>
      <c r="B79" s="62">
        <v>46151.609872685185</v>
      </c>
      <c r="C79" s="56" t="s">
        <v>106</v>
      </c>
      <c r="D79" s="56" t="s">
        <v>9</v>
      </c>
      <c r="E79" s="58">
        <v>-1.0</v>
      </c>
      <c r="F79" s="56" t="s">
        <v>479</v>
      </c>
      <c r="G79" s="56" t="s">
        <v>620</v>
      </c>
      <c r="H79" s="56" t="s">
        <v>467</v>
      </c>
      <c r="I79" s="56" t="s">
        <v>398</v>
      </c>
    </row>
    <row r="80">
      <c r="A80" s="56" t="s">
        <v>621</v>
      </c>
      <c r="B80" s="62">
        <v>46151.681909722225</v>
      </c>
      <c r="C80" s="56" t="s">
        <v>553</v>
      </c>
      <c r="D80" s="56" t="s">
        <v>7</v>
      </c>
      <c r="E80" s="58">
        <v>-1.0</v>
      </c>
      <c r="F80" s="56" t="s">
        <v>479</v>
      </c>
      <c r="G80" s="56" t="s">
        <v>622</v>
      </c>
      <c r="H80" s="56" t="s">
        <v>623</v>
      </c>
      <c r="I80" s="56" t="s">
        <v>556</v>
      </c>
    </row>
    <row r="81">
      <c r="A81" s="56" t="s">
        <v>624</v>
      </c>
      <c r="B81" s="62">
        <v>46151.68209490741</v>
      </c>
      <c r="E81" s="58">
        <v>0.0</v>
      </c>
      <c r="F81" s="56" t="s">
        <v>625</v>
      </c>
      <c r="G81" s="56" t="s">
        <v>626</v>
      </c>
      <c r="H81" s="56" t="s">
        <v>623</v>
      </c>
      <c r="I81" s="56" t="s">
        <v>556</v>
      </c>
    </row>
    <row r="82">
      <c r="A82" s="56" t="s">
        <v>627</v>
      </c>
      <c r="B82" s="62">
        <v>46151.682291666664</v>
      </c>
      <c r="E82" s="58">
        <v>0.0</v>
      </c>
      <c r="F82" s="56" t="s">
        <v>625</v>
      </c>
      <c r="G82" s="56" t="s">
        <v>628</v>
      </c>
      <c r="H82" s="56" t="s">
        <v>623</v>
      </c>
      <c r="I82" s="56" t="s">
        <v>556</v>
      </c>
    </row>
    <row r="83">
      <c r="A83" s="56" t="s">
        <v>629</v>
      </c>
      <c r="B83" s="62">
        <v>46151.68252314815</v>
      </c>
      <c r="E83" s="58">
        <v>0.0</v>
      </c>
      <c r="F83" s="56" t="s">
        <v>625</v>
      </c>
      <c r="G83" s="56" t="s">
        <v>630</v>
      </c>
      <c r="H83" s="56" t="s">
        <v>623</v>
      </c>
      <c r="I83" s="56" t="s">
        <v>556</v>
      </c>
    </row>
    <row r="84">
      <c r="A84" s="56" t="s">
        <v>631</v>
      </c>
      <c r="B84" s="62">
        <v>46153.493946759256</v>
      </c>
      <c r="C84" s="56" t="s">
        <v>79</v>
      </c>
      <c r="D84" s="56" t="s">
        <v>7</v>
      </c>
      <c r="E84" s="58">
        <v>1.0</v>
      </c>
      <c r="F84" s="56" t="s">
        <v>608</v>
      </c>
      <c r="G84" s="56" t="s">
        <v>632</v>
      </c>
      <c r="I84" s="56" t="s">
        <v>398</v>
      </c>
    </row>
    <row r="85">
      <c r="A85" s="56" t="s">
        <v>633</v>
      </c>
      <c r="B85" s="62">
        <v>46153.495300925926</v>
      </c>
      <c r="C85" s="56" t="s">
        <v>145</v>
      </c>
      <c r="D85" s="56" t="s">
        <v>7</v>
      </c>
      <c r="E85" s="58">
        <v>2.0</v>
      </c>
      <c r="F85" s="56" t="s">
        <v>608</v>
      </c>
      <c r="G85" s="56" t="s">
        <v>632</v>
      </c>
      <c r="I85" s="56" t="s">
        <v>398</v>
      </c>
    </row>
    <row r="86">
      <c r="A86" s="56" t="s">
        <v>634</v>
      </c>
      <c r="B86" s="62">
        <v>46153.49565972222</v>
      </c>
      <c r="C86" s="56" t="s">
        <v>145</v>
      </c>
      <c r="D86" s="56" t="s">
        <v>8</v>
      </c>
      <c r="E86" s="58">
        <v>-1.0</v>
      </c>
      <c r="F86" s="56" t="s">
        <v>614</v>
      </c>
      <c r="G86" s="56" t="s">
        <v>635</v>
      </c>
      <c r="I86" s="56" t="s">
        <v>398</v>
      </c>
    </row>
    <row r="87">
      <c r="A87" s="56" t="s">
        <v>636</v>
      </c>
      <c r="B87" s="62">
        <v>46153.501539351855</v>
      </c>
      <c r="C87" s="56" t="s">
        <v>145</v>
      </c>
      <c r="D87" s="56" t="s">
        <v>7</v>
      </c>
      <c r="E87" s="58">
        <v>-2.0</v>
      </c>
      <c r="F87" s="56" t="s">
        <v>614</v>
      </c>
      <c r="G87" s="56" t="s">
        <v>637</v>
      </c>
      <c r="I87" s="56" t="s">
        <v>398</v>
      </c>
    </row>
    <row r="88">
      <c r="A88" s="56" t="s">
        <v>638</v>
      </c>
      <c r="B88" s="62">
        <v>46153.51112268519</v>
      </c>
      <c r="E88" s="58">
        <v>0.0</v>
      </c>
      <c r="F88" s="56" t="s">
        <v>625</v>
      </c>
      <c r="G88" s="56" t="s">
        <v>639</v>
      </c>
      <c r="H88" s="56" t="s">
        <v>623</v>
      </c>
      <c r="I88" s="56" t="s">
        <v>556</v>
      </c>
    </row>
    <row r="89">
      <c r="A89" s="56" t="s">
        <v>640</v>
      </c>
      <c r="B89" s="62">
        <v>46153.789826388886</v>
      </c>
      <c r="E89" s="58">
        <v>0.0</v>
      </c>
      <c r="F89" s="56" t="s">
        <v>625</v>
      </c>
      <c r="G89" s="56" t="s">
        <v>641</v>
      </c>
      <c r="H89" s="56" t="s">
        <v>467</v>
      </c>
      <c r="I89" s="56" t="s">
        <v>398</v>
      </c>
    </row>
    <row r="90">
      <c r="A90" s="56" t="s">
        <v>642</v>
      </c>
      <c r="B90" s="62">
        <v>46156.53061342592</v>
      </c>
      <c r="C90" s="56" t="s">
        <v>553</v>
      </c>
      <c r="D90" s="56" t="s">
        <v>11</v>
      </c>
      <c r="E90" s="58">
        <v>1.0</v>
      </c>
      <c r="F90" s="56" t="s">
        <v>558</v>
      </c>
      <c r="G90" s="56" t="s">
        <v>643</v>
      </c>
      <c r="H90" s="56" t="s">
        <v>644</v>
      </c>
      <c r="I90" s="56" t="s">
        <v>556</v>
      </c>
    </row>
    <row r="91">
      <c r="A91" s="56" t="s">
        <v>645</v>
      </c>
      <c r="B91" s="62">
        <v>46156.59935185185</v>
      </c>
      <c r="C91" s="56" t="s">
        <v>553</v>
      </c>
      <c r="D91" s="56" t="s">
        <v>6</v>
      </c>
      <c r="E91" s="58">
        <v>4.0</v>
      </c>
      <c r="F91" s="56" t="s">
        <v>608</v>
      </c>
      <c r="G91" s="56" t="s">
        <v>646</v>
      </c>
      <c r="I91" s="56" t="s">
        <v>556</v>
      </c>
    </row>
    <row r="92">
      <c r="A92" s="56" t="s">
        <v>647</v>
      </c>
      <c r="B92" s="62">
        <v>46156.59935185185</v>
      </c>
      <c r="C92" s="56" t="s">
        <v>553</v>
      </c>
      <c r="D92" s="56" t="s">
        <v>7</v>
      </c>
      <c r="E92" s="58">
        <v>3.0</v>
      </c>
      <c r="F92" s="56" t="s">
        <v>608</v>
      </c>
      <c r="G92" s="56" t="s">
        <v>646</v>
      </c>
      <c r="I92" s="56" t="s">
        <v>556</v>
      </c>
    </row>
    <row r="93">
      <c r="A93" s="56" t="s">
        <v>648</v>
      </c>
      <c r="B93" s="62">
        <v>46156.59935185185</v>
      </c>
      <c r="C93" s="56" t="s">
        <v>553</v>
      </c>
      <c r="D93" s="56" t="s">
        <v>8</v>
      </c>
      <c r="E93" s="58">
        <v>1.0</v>
      </c>
      <c r="F93" s="56" t="s">
        <v>608</v>
      </c>
      <c r="G93" s="56" t="s">
        <v>646</v>
      </c>
      <c r="I93" s="56" t="s">
        <v>556</v>
      </c>
    </row>
    <row r="94">
      <c r="A94" s="56" t="s">
        <v>649</v>
      </c>
      <c r="B94" s="62">
        <v>46156.59935185185</v>
      </c>
      <c r="C94" s="56" t="s">
        <v>553</v>
      </c>
      <c r="D94" s="56" t="s">
        <v>9</v>
      </c>
      <c r="E94" s="58">
        <v>1.0</v>
      </c>
      <c r="F94" s="56" t="s">
        <v>608</v>
      </c>
      <c r="G94" s="56" t="s">
        <v>646</v>
      </c>
      <c r="I94" s="56" t="s">
        <v>556</v>
      </c>
    </row>
    <row r="95">
      <c r="A95" s="56" t="s">
        <v>650</v>
      </c>
      <c r="B95" s="62">
        <v>46156.59935185185</v>
      </c>
      <c r="C95" s="56" t="s">
        <v>553</v>
      </c>
      <c r="D95" s="56" t="s">
        <v>10</v>
      </c>
      <c r="E95" s="58">
        <v>1.0</v>
      </c>
      <c r="F95" s="56" t="s">
        <v>608</v>
      </c>
      <c r="G95" s="56" t="s">
        <v>646</v>
      </c>
      <c r="I95" s="56" t="s">
        <v>556</v>
      </c>
    </row>
    <row r="96">
      <c r="A96" s="56" t="s">
        <v>651</v>
      </c>
      <c r="B96" s="62">
        <v>46156.59935185185</v>
      </c>
      <c r="C96" s="56" t="s">
        <v>553</v>
      </c>
      <c r="D96" s="56" t="s">
        <v>11</v>
      </c>
      <c r="E96" s="58">
        <v>1.0</v>
      </c>
      <c r="F96" s="56" t="s">
        <v>608</v>
      </c>
      <c r="G96" s="56" t="s">
        <v>646</v>
      </c>
      <c r="I96" s="56" t="s">
        <v>556</v>
      </c>
    </row>
    <row r="97">
      <c r="A97" s="56" t="s">
        <v>652</v>
      </c>
      <c r="B97" s="62">
        <v>46156.60084490741</v>
      </c>
      <c r="C97" s="56" t="s">
        <v>653</v>
      </c>
      <c r="D97" s="56" t="s">
        <v>6</v>
      </c>
      <c r="E97" s="58">
        <v>2.0</v>
      </c>
      <c r="F97" s="56" t="s">
        <v>608</v>
      </c>
      <c r="G97" s="56" t="s">
        <v>646</v>
      </c>
      <c r="I97" s="56" t="s">
        <v>556</v>
      </c>
    </row>
    <row r="98">
      <c r="A98" s="56" t="s">
        <v>654</v>
      </c>
      <c r="B98" s="62">
        <v>46156.60084490741</v>
      </c>
      <c r="C98" s="56" t="s">
        <v>653</v>
      </c>
      <c r="D98" s="56" t="s">
        <v>7</v>
      </c>
      <c r="E98" s="58">
        <v>2.0</v>
      </c>
      <c r="F98" s="56" t="s">
        <v>608</v>
      </c>
      <c r="G98" s="56" t="s">
        <v>646</v>
      </c>
      <c r="I98" s="56" t="s">
        <v>556</v>
      </c>
    </row>
    <row r="99">
      <c r="A99" s="56" t="s">
        <v>655</v>
      </c>
      <c r="B99" s="62">
        <v>46156.60084490741</v>
      </c>
      <c r="C99" s="56" t="s">
        <v>653</v>
      </c>
      <c r="D99" s="56" t="s">
        <v>8</v>
      </c>
      <c r="E99" s="58">
        <v>2.0</v>
      </c>
      <c r="F99" s="56" t="s">
        <v>608</v>
      </c>
      <c r="G99" s="56" t="s">
        <v>646</v>
      </c>
      <c r="I99" s="56" t="s">
        <v>556</v>
      </c>
    </row>
    <row r="100">
      <c r="A100" s="56" t="s">
        <v>656</v>
      </c>
      <c r="B100" s="62">
        <v>46156.60084490741</v>
      </c>
      <c r="C100" s="56" t="s">
        <v>653</v>
      </c>
      <c r="D100" s="56" t="s">
        <v>9</v>
      </c>
      <c r="E100" s="58">
        <v>2.0</v>
      </c>
      <c r="F100" s="56" t="s">
        <v>608</v>
      </c>
      <c r="G100" s="56" t="s">
        <v>646</v>
      </c>
      <c r="I100" s="56" t="s">
        <v>556</v>
      </c>
    </row>
    <row r="101">
      <c r="A101" s="56" t="s">
        <v>657</v>
      </c>
      <c r="B101" s="62">
        <v>46156.60084490741</v>
      </c>
      <c r="C101" s="56" t="s">
        <v>653</v>
      </c>
      <c r="D101" s="56" t="s">
        <v>10</v>
      </c>
      <c r="E101" s="58">
        <v>2.0</v>
      </c>
      <c r="F101" s="56" t="s">
        <v>608</v>
      </c>
      <c r="G101" s="56" t="s">
        <v>646</v>
      </c>
      <c r="I101" s="56" t="s">
        <v>556</v>
      </c>
    </row>
    <row r="102">
      <c r="A102" s="56" t="s">
        <v>658</v>
      </c>
      <c r="B102" s="62">
        <v>46156.60084490741</v>
      </c>
      <c r="C102" s="56" t="s">
        <v>653</v>
      </c>
      <c r="D102" s="56" t="s">
        <v>11</v>
      </c>
      <c r="E102" s="58">
        <v>2.0</v>
      </c>
      <c r="F102" s="56" t="s">
        <v>608</v>
      </c>
      <c r="G102" s="56" t="s">
        <v>646</v>
      </c>
      <c r="I102" s="56" t="s">
        <v>556</v>
      </c>
    </row>
    <row r="103">
      <c r="A103" s="56" t="s">
        <v>659</v>
      </c>
      <c r="B103" s="62">
        <v>46156.62908564815</v>
      </c>
      <c r="C103" s="56" t="s">
        <v>553</v>
      </c>
      <c r="D103" s="56" t="s">
        <v>6</v>
      </c>
      <c r="E103" s="58">
        <v>1.0</v>
      </c>
      <c r="F103" s="56" t="s">
        <v>608</v>
      </c>
      <c r="G103" s="56" t="s">
        <v>646</v>
      </c>
      <c r="I103" s="56" t="s">
        <v>556</v>
      </c>
    </row>
    <row r="104">
      <c r="A104" s="56" t="s">
        <v>660</v>
      </c>
      <c r="B104" s="62">
        <v>46156.62908564815</v>
      </c>
      <c r="C104" s="56" t="s">
        <v>553</v>
      </c>
      <c r="D104" s="56" t="s">
        <v>7</v>
      </c>
      <c r="E104" s="58">
        <v>1.0</v>
      </c>
      <c r="F104" s="56" t="s">
        <v>608</v>
      </c>
      <c r="G104" s="56" t="s">
        <v>646</v>
      </c>
      <c r="I104" s="56" t="s">
        <v>556</v>
      </c>
    </row>
    <row r="105">
      <c r="A105" s="56" t="s">
        <v>661</v>
      </c>
      <c r="B105" s="62">
        <v>46156.62908564815</v>
      </c>
      <c r="C105" s="56" t="s">
        <v>553</v>
      </c>
      <c r="D105" s="56" t="s">
        <v>8</v>
      </c>
      <c r="E105" s="58">
        <v>1.0</v>
      </c>
      <c r="F105" s="56" t="s">
        <v>608</v>
      </c>
      <c r="G105" s="56" t="s">
        <v>646</v>
      </c>
      <c r="I105" s="56" t="s">
        <v>556</v>
      </c>
    </row>
    <row r="106">
      <c r="A106" s="56" t="s">
        <v>662</v>
      </c>
      <c r="B106" s="62">
        <v>46156.62908564815</v>
      </c>
      <c r="C106" s="56" t="s">
        <v>553</v>
      </c>
      <c r="D106" s="56" t="s">
        <v>9</v>
      </c>
      <c r="E106" s="58">
        <v>1.0</v>
      </c>
      <c r="F106" s="56" t="s">
        <v>608</v>
      </c>
      <c r="G106" s="56" t="s">
        <v>646</v>
      </c>
      <c r="I106" s="56" t="s">
        <v>556</v>
      </c>
    </row>
    <row r="107">
      <c r="A107" s="56" t="s">
        <v>663</v>
      </c>
      <c r="B107" s="62">
        <v>46156.62908564815</v>
      </c>
      <c r="C107" s="56" t="s">
        <v>553</v>
      </c>
      <c r="D107" s="56" t="s">
        <v>10</v>
      </c>
      <c r="E107" s="58">
        <v>1.0</v>
      </c>
      <c r="F107" s="56" t="s">
        <v>608</v>
      </c>
      <c r="G107" s="56" t="s">
        <v>646</v>
      </c>
      <c r="I107" s="56" t="s">
        <v>556</v>
      </c>
    </row>
    <row r="108">
      <c r="A108" s="56" t="s">
        <v>664</v>
      </c>
      <c r="B108" s="62">
        <v>46156.62908564815</v>
      </c>
      <c r="C108" s="56" t="s">
        <v>553</v>
      </c>
      <c r="D108" s="56" t="s">
        <v>11</v>
      </c>
      <c r="E108" s="58">
        <v>1.0</v>
      </c>
      <c r="F108" s="56" t="s">
        <v>608</v>
      </c>
      <c r="G108" s="56" t="s">
        <v>646</v>
      </c>
      <c r="I108" s="56" t="s">
        <v>556</v>
      </c>
    </row>
    <row r="109">
      <c r="A109" s="56" t="s">
        <v>665</v>
      </c>
      <c r="B109" s="62">
        <v>46157.71765046296</v>
      </c>
      <c r="E109" s="58">
        <v>0.0</v>
      </c>
      <c r="F109" s="56" t="s">
        <v>625</v>
      </c>
      <c r="G109" s="56" t="s">
        <v>666</v>
      </c>
      <c r="H109" s="56" t="s">
        <v>451</v>
      </c>
      <c r="I109" s="56" t="s">
        <v>556</v>
      </c>
    </row>
    <row r="110">
      <c r="A110" s="56" t="s">
        <v>667</v>
      </c>
      <c r="B110" s="62">
        <v>46171.58421296296</v>
      </c>
      <c r="C110" s="56" t="s">
        <v>285</v>
      </c>
      <c r="D110" s="56" t="s">
        <v>6</v>
      </c>
      <c r="E110" s="58">
        <v>1.0</v>
      </c>
      <c r="F110" s="56" t="s">
        <v>608</v>
      </c>
      <c r="G110" s="56" t="s">
        <v>608</v>
      </c>
      <c r="I110" s="56" t="s">
        <v>398</v>
      </c>
    </row>
    <row r="111">
      <c r="A111" s="56" t="s">
        <v>668</v>
      </c>
      <c r="B111" s="62">
        <v>46171.58421296296</v>
      </c>
      <c r="C111" s="56" t="s">
        <v>285</v>
      </c>
      <c r="D111" s="56" t="s">
        <v>8</v>
      </c>
      <c r="E111" s="58">
        <v>3.0</v>
      </c>
      <c r="F111" s="56" t="s">
        <v>608</v>
      </c>
      <c r="G111" s="56" t="s">
        <v>608</v>
      </c>
      <c r="I111" s="56" t="s">
        <v>398</v>
      </c>
    </row>
    <row r="112">
      <c r="A112" s="56" t="s">
        <v>669</v>
      </c>
      <c r="B112" s="62">
        <v>46172.42392361111</v>
      </c>
      <c r="C112" s="56" t="s">
        <v>23</v>
      </c>
      <c r="D112" s="56" t="s">
        <v>7</v>
      </c>
      <c r="E112" s="58">
        <v>-1.0</v>
      </c>
      <c r="F112" s="56" t="s">
        <v>479</v>
      </c>
      <c r="G112" s="56" t="s">
        <v>670</v>
      </c>
      <c r="H112" s="56" t="s">
        <v>469</v>
      </c>
      <c r="I112" s="56" t="s">
        <v>398</v>
      </c>
    </row>
    <row r="113">
      <c r="A113" s="56" t="s">
        <v>671</v>
      </c>
      <c r="B113" s="62">
        <v>46176.75204861111</v>
      </c>
      <c r="C113" s="56" t="s">
        <v>85</v>
      </c>
      <c r="D113" s="56" t="s">
        <v>7</v>
      </c>
      <c r="E113" s="58">
        <v>-2.0</v>
      </c>
      <c r="F113" s="56" t="s">
        <v>479</v>
      </c>
      <c r="G113" s="56" t="s">
        <v>672</v>
      </c>
      <c r="H113" s="56" t="s">
        <v>471</v>
      </c>
      <c r="I113" s="56" t="s">
        <v>398</v>
      </c>
    </row>
    <row r="114">
      <c r="A114" s="56" t="s">
        <v>673</v>
      </c>
      <c r="B114" s="62">
        <v>46176.78640046297</v>
      </c>
      <c r="E114" s="58">
        <v>0.0</v>
      </c>
      <c r="F114" s="56" t="s">
        <v>625</v>
      </c>
      <c r="G114" s="56" t="s">
        <v>674</v>
      </c>
      <c r="H114" s="56" t="s">
        <v>451</v>
      </c>
      <c r="I114" s="56" t="s">
        <v>398</v>
      </c>
    </row>
    <row r="115">
      <c r="A115" s="56" t="s">
        <v>675</v>
      </c>
      <c r="B115" s="62">
        <v>46179.735625</v>
      </c>
      <c r="C115" s="56" t="s">
        <v>27</v>
      </c>
      <c r="D115" s="56" t="s">
        <v>8</v>
      </c>
      <c r="E115" s="58">
        <v>-1.0</v>
      </c>
      <c r="F115" s="56" t="s">
        <v>479</v>
      </c>
      <c r="G115" s="56" t="s">
        <v>676</v>
      </c>
      <c r="H115" s="56" t="s">
        <v>473</v>
      </c>
      <c r="I115" s="56" t="s">
        <v>398</v>
      </c>
    </row>
    <row r="116">
      <c r="A116" s="56" t="s">
        <v>677</v>
      </c>
      <c r="B116" s="62">
        <v>46179.735625</v>
      </c>
      <c r="C116" s="56" t="s">
        <v>23</v>
      </c>
      <c r="D116" s="56" t="s">
        <v>8</v>
      </c>
      <c r="E116" s="58">
        <v>-1.0</v>
      </c>
      <c r="F116" s="56" t="s">
        <v>479</v>
      </c>
      <c r="G116" s="56" t="s">
        <v>676</v>
      </c>
      <c r="H116" s="56" t="s">
        <v>473</v>
      </c>
      <c r="I116" s="56" t="s">
        <v>398</v>
      </c>
    </row>
    <row r="117">
      <c r="A117" s="56" t="s">
        <v>678</v>
      </c>
      <c r="B117" s="62">
        <v>46181.64849537037</v>
      </c>
      <c r="C117" s="56" t="s">
        <v>193</v>
      </c>
      <c r="D117" s="56" t="s">
        <v>9</v>
      </c>
      <c r="E117" s="58">
        <v>1.0</v>
      </c>
      <c r="F117" s="56" t="s">
        <v>608</v>
      </c>
      <c r="G117" s="56" t="s">
        <v>679</v>
      </c>
      <c r="I117" s="56" t="s">
        <v>398</v>
      </c>
    </row>
    <row r="118">
      <c r="A118" s="56" t="s">
        <v>680</v>
      </c>
      <c r="B118" s="62">
        <v>46181.65216435185</v>
      </c>
      <c r="C118" s="56" t="s">
        <v>298</v>
      </c>
      <c r="D118" s="56" t="s">
        <v>8</v>
      </c>
      <c r="E118" s="58">
        <v>-1.0</v>
      </c>
      <c r="F118" s="56" t="s">
        <v>614</v>
      </c>
      <c r="G118" s="56" t="s">
        <v>681</v>
      </c>
      <c r="I118" s="56" t="s">
        <v>398</v>
      </c>
    </row>
    <row r="119">
      <c r="A119" s="56" t="s">
        <v>682</v>
      </c>
      <c r="B119" s="62">
        <v>46181.65216435185</v>
      </c>
      <c r="C119" s="56" t="s">
        <v>298</v>
      </c>
      <c r="D119" s="56" t="s">
        <v>9</v>
      </c>
      <c r="E119" s="58">
        <v>1.0</v>
      </c>
      <c r="F119" s="56" t="s">
        <v>608</v>
      </c>
      <c r="G119" s="56" t="s">
        <v>681</v>
      </c>
      <c r="I119" s="56" t="s">
        <v>398</v>
      </c>
    </row>
    <row r="120">
      <c r="A120" s="56" t="s">
        <v>683</v>
      </c>
      <c r="B120" s="62">
        <v>46182.508518518516</v>
      </c>
      <c r="C120" s="56" t="s">
        <v>285</v>
      </c>
      <c r="D120" s="56" t="s">
        <v>9</v>
      </c>
      <c r="E120" s="58">
        <v>-1.0</v>
      </c>
      <c r="F120" s="56" t="s">
        <v>614</v>
      </c>
      <c r="G120" s="56" t="s">
        <v>684</v>
      </c>
      <c r="I120" s="56" t="s">
        <v>398</v>
      </c>
    </row>
    <row r="121">
      <c r="A121" s="56" t="s">
        <v>685</v>
      </c>
      <c r="B121" s="62">
        <v>46182.51091435185</v>
      </c>
      <c r="C121" s="56" t="s">
        <v>285</v>
      </c>
      <c r="D121" s="56" t="s">
        <v>9</v>
      </c>
      <c r="E121" s="58">
        <v>-1.0</v>
      </c>
      <c r="F121" s="56" t="s">
        <v>479</v>
      </c>
      <c r="G121" s="56" t="s">
        <v>686</v>
      </c>
      <c r="H121" s="56" t="s">
        <v>474</v>
      </c>
      <c r="I121" s="56" t="s">
        <v>398</v>
      </c>
    </row>
    <row r="122">
      <c r="A122" s="56" t="s">
        <v>687</v>
      </c>
      <c r="B122" s="62">
        <v>46182.575277777774</v>
      </c>
      <c r="E122" s="58">
        <v>0.0</v>
      </c>
      <c r="F122" s="56" t="s">
        <v>625</v>
      </c>
      <c r="G122" s="56" t="s">
        <v>688</v>
      </c>
      <c r="H122" s="56" t="s">
        <v>474</v>
      </c>
      <c r="I122" s="56" t="s">
        <v>398</v>
      </c>
    </row>
    <row r="123">
      <c r="A123" s="56" t="s">
        <v>689</v>
      </c>
      <c r="B123" s="62">
        <v>46182.6103125</v>
      </c>
      <c r="E123" s="58">
        <v>0.0</v>
      </c>
      <c r="F123" s="56" t="s">
        <v>625</v>
      </c>
      <c r="G123" s="56" t="s">
        <v>690</v>
      </c>
      <c r="H123" s="56" t="s">
        <v>451</v>
      </c>
      <c r="I123" s="56" t="s">
        <v>398</v>
      </c>
    </row>
    <row r="124">
      <c r="A124" s="56" t="s">
        <v>691</v>
      </c>
      <c r="B124" s="62">
        <v>46184.665</v>
      </c>
      <c r="C124" s="56" t="s">
        <v>162</v>
      </c>
      <c r="D124" s="56" t="s">
        <v>7</v>
      </c>
      <c r="E124" s="58">
        <v>-1.0</v>
      </c>
      <c r="F124" s="56" t="s">
        <v>479</v>
      </c>
      <c r="G124" s="56" t="s">
        <v>692</v>
      </c>
      <c r="H124" s="56" t="s">
        <v>693</v>
      </c>
      <c r="I124" s="56" t="s">
        <v>398</v>
      </c>
    </row>
    <row r="125">
      <c r="A125" s="56" t="s">
        <v>694</v>
      </c>
      <c r="B125" s="62">
        <v>46184.665</v>
      </c>
      <c r="C125" s="56" t="s">
        <v>141</v>
      </c>
      <c r="D125" s="56" t="s">
        <v>7</v>
      </c>
      <c r="E125" s="58">
        <v>-1.0</v>
      </c>
      <c r="F125" s="56" t="s">
        <v>479</v>
      </c>
      <c r="G125" s="56" t="s">
        <v>692</v>
      </c>
      <c r="H125" s="56" t="s">
        <v>693</v>
      </c>
      <c r="I125" s="56" t="s">
        <v>398</v>
      </c>
    </row>
    <row r="126">
      <c r="A126" s="56" t="s">
        <v>695</v>
      </c>
      <c r="B126" s="62">
        <v>46184.670902777776</v>
      </c>
      <c r="C126" s="56" t="s">
        <v>162</v>
      </c>
      <c r="D126" s="56" t="s">
        <v>7</v>
      </c>
      <c r="E126" s="58">
        <v>1.0</v>
      </c>
      <c r="F126" s="56" t="s">
        <v>486</v>
      </c>
      <c r="G126" s="56" t="s">
        <v>696</v>
      </c>
      <c r="H126" s="56" t="s">
        <v>693</v>
      </c>
      <c r="I126" s="56" t="s">
        <v>398</v>
      </c>
    </row>
    <row r="127">
      <c r="A127" s="56" t="s">
        <v>697</v>
      </c>
      <c r="B127" s="62">
        <v>46184.670902777776</v>
      </c>
      <c r="C127" s="56" t="s">
        <v>141</v>
      </c>
      <c r="D127" s="56" t="s">
        <v>7</v>
      </c>
      <c r="E127" s="58">
        <v>1.0</v>
      </c>
      <c r="F127" s="56" t="s">
        <v>486</v>
      </c>
      <c r="G127" s="56" t="s">
        <v>696</v>
      </c>
      <c r="H127" s="56" t="s">
        <v>693</v>
      </c>
      <c r="I127" s="56" t="s">
        <v>398</v>
      </c>
    </row>
    <row r="128">
      <c r="A128" s="56" t="s">
        <v>698</v>
      </c>
      <c r="B128" s="62">
        <v>46188.53238425926</v>
      </c>
      <c r="C128" s="56" t="s">
        <v>302</v>
      </c>
      <c r="D128" s="56" t="s">
        <v>8</v>
      </c>
      <c r="E128" s="58">
        <v>-1.0</v>
      </c>
      <c r="F128" s="56" t="s">
        <v>479</v>
      </c>
      <c r="G128" s="56" t="s">
        <v>699</v>
      </c>
      <c r="H128" s="56" t="s">
        <v>476</v>
      </c>
      <c r="I128" s="56" t="s">
        <v>398</v>
      </c>
    </row>
    <row r="129">
      <c r="A129" s="56" t="s">
        <v>700</v>
      </c>
      <c r="B129" s="62">
        <v>46188.53238425926</v>
      </c>
      <c r="C129" s="56" t="s">
        <v>315</v>
      </c>
      <c r="D129" s="56" t="s">
        <v>8</v>
      </c>
      <c r="E129" s="58">
        <v>-1.0</v>
      </c>
      <c r="F129" s="56" t="s">
        <v>479</v>
      </c>
      <c r="G129" s="56" t="s">
        <v>699</v>
      </c>
      <c r="H129" s="56" t="s">
        <v>476</v>
      </c>
      <c r="I129" s="56" t="s">
        <v>398</v>
      </c>
    </row>
    <row r="130">
      <c r="A130" s="56" t="s">
        <v>701</v>
      </c>
      <c r="B130" s="62">
        <v>46192.53087962963</v>
      </c>
      <c r="E130" s="58">
        <v>0.0</v>
      </c>
      <c r="F130" s="56" t="s">
        <v>625</v>
      </c>
      <c r="G130" s="56" t="s">
        <v>702</v>
      </c>
      <c r="H130" s="56" t="s">
        <v>476</v>
      </c>
      <c r="I130" s="56" t="s">
        <v>398</v>
      </c>
    </row>
    <row r="131">
      <c r="A131" s="56" t="s">
        <v>703</v>
      </c>
      <c r="B131" s="62">
        <v>46202.667337962965</v>
      </c>
      <c r="C131" s="56" t="s">
        <v>325</v>
      </c>
      <c r="D131" s="56" t="s">
        <v>7</v>
      </c>
      <c r="E131" s="58">
        <v>2.0</v>
      </c>
      <c r="F131" s="56" t="s">
        <v>704</v>
      </c>
      <c r="G131" s="56" t="s">
        <v>705</v>
      </c>
      <c r="I131" s="56" t="s">
        <v>398</v>
      </c>
    </row>
    <row r="132">
      <c r="A132" s="56" t="s">
        <v>706</v>
      </c>
      <c r="B132" s="62">
        <v>46202.667337962965</v>
      </c>
      <c r="C132" s="56" t="s">
        <v>325</v>
      </c>
      <c r="D132" s="56" t="s">
        <v>8</v>
      </c>
      <c r="E132" s="58">
        <v>3.0</v>
      </c>
      <c r="F132" s="56" t="s">
        <v>704</v>
      </c>
      <c r="G132" s="56" t="s">
        <v>705</v>
      </c>
      <c r="I132" s="56" t="s">
        <v>398</v>
      </c>
    </row>
    <row r="133">
      <c r="A133" s="56" t="s">
        <v>707</v>
      </c>
      <c r="B133" s="62">
        <v>46202.667337962965</v>
      </c>
      <c r="C133" s="56" t="s">
        <v>325</v>
      </c>
      <c r="D133" s="56" t="s">
        <v>9</v>
      </c>
      <c r="E133" s="58">
        <v>3.0</v>
      </c>
      <c r="F133" s="56" t="s">
        <v>704</v>
      </c>
      <c r="G133" s="56" t="s">
        <v>705</v>
      </c>
      <c r="I133" s="56" t="s">
        <v>398</v>
      </c>
    </row>
    <row r="134">
      <c r="A134" s="56" t="s">
        <v>708</v>
      </c>
      <c r="B134" s="62">
        <v>46202.667337962965</v>
      </c>
      <c r="C134" s="56" t="s">
        <v>325</v>
      </c>
      <c r="D134" s="56" t="s">
        <v>10</v>
      </c>
      <c r="E134" s="58">
        <v>2.0</v>
      </c>
      <c r="F134" s="56" t="s">
        <v>704</v>
      </c>
      <c r="G134" s="56" t="s">
        <v>705</v>
      </c>
      <c r="I134" s="56" t="s">
        <v>398</v>
      </c>
    </row>
    <row r="135">
      <c r="A135" s="56" t="s">
        <v>709</v>
      </c>
      <c r="B135" s="62">
        <v>46202.66909722222</v>
      </c>
      <c r="C135" s="56" t="s">
        <v>325</v>
      </c>
      <c r="D135" s="56" t="s">
        <v>10</v>
      </c>
      <c r="E135" s="58">
        <v>-1.0</v>
      </c>
      <c r="F135" s="56" t="s">
        <v>614</v>
      </c>
      <c r="G135" s="56" t="s">
        <v>710</v>
      </c>
      <c r="I135" s="56" t="s">
        <v>398</v>
      </c>
    </row>
    <row r="136">
      <c r="A136" s="56" t="s">
        <v>711</v>
      </c>
      <c r="B136" s="62">
        <v>46202.67240740741</v>
      </c>
      <c r="C136" s="56" t="s">
        <v>328</v>
      </c>
      <c r="D136" s="56" t="s">
        <v>7</v>
      </c>
      <c r="E136" s="58">
        <v>1.0</v>
      </c>
      <c r="F136" s="56" t="s">
        <v>704</v>
      </c>
      <c r="G136" s="56" t="s">
        <v>712</v>
      </c>
      <c r="I136" s="56" t="s">
        <v>398</v>
      </c>
    </row>
    <row r="137">
      <c r="A137" s="56" t="s">
        <v>713</v>
      </c>
      <c r="B137" s="62">
        <v>46202.67240740741</v>
      </c>
      <c r="C137" s="56" t="s">
        <v>328</v>
      </c>
      <c r="D137" s="56" t="s">
        <v>8</v>
      </c>
      <c r="E137" s="58">
        <v>1.0</v>
      </c>
      <c r="F137" s="56" t="s">
        <v>704</v>
      </c>
      <c r="G137" s="56" t="s">
        <v>712</v>
      </c>
      <c r="I137" s="56" t="s">
        <v>398</v>
      </c>
    </row>
    <row r="138">
      <c r="A138" s="56" t="s">
        <v>714</v>
      </c>
      <c r="B138" s="62">
        <v>46202.67240740741</v>
      </c>
      <c r="C138" s="56" t="s">
        <v>328</v>
      </c>
      <c r="D138" s="56" t="s">
        <v>9</v>
      </c>
      <c r="E138" s="58">
        <v>1.0</v>
      </c>
      <c r="F138" s="56" t="s">
        <v>704</v>
      </c>
      <c r="G138" s="56" t="s">
        <v>712</v>
      </c>
      <c r="I138" s="56" t="s">
        <v>398</v>
      </c>
    </row>
    <row r="139">
      <c r="A139" s="56" t="s">
        <v>715</v>
      </c>
      <c r="B139" s="62">
        <v>46202.67240740741</v>
      </c>
      <c r="C139" s="56" t="s">
        <v>328</v>
      </c>
      <c r="D139" s="56" t="s">
        <v>10</v>
      </c>
      <c r="E139" s="58">
        <v>1.0</v>
      </c>
      <c r="F139" s="56" t="s">
        <v>704</v>
      </c>
      <c r="G139" s="56" t="s">
        <v>712</v>
      </c>
      <c r="I139" s="56" t="s">
        <v>398</v>
      </c>
    </row>
    <row r="140">
      <c r="A140" s="56" t="s">
        <v>716</v>
      </c>
      <c r="B140" s="62">
        <v>46202.673125</v>
      </c>
      <c r="C140" s="56" t="s">
        <v>331</v>
      </c>
      <c r="D140" s="56" t="s">
        <v>7</v>
      </c>
      <c r="E140" s="58">
        <v>1.0</v>
      </c>
      <c r="F140" s="56" t="s">
        <v>704</v>
      </c>
      <c r="G140" s="56" t="s">
        <v>717</v>
      </c>
      <c r="I140" s="56" t="s">
        <v>398</v>
      </c>
    </row>
    <row r="141">
      <c r="A141" s="56" t="s">
        <v>718</v>
      </c>
      <c r="B141" s="62">
        <v>46202.673125</v>
      </c>
      <c r="C141" s="56" t="s">
        <v>331</v>
      </c>
      <c r="D141" s="56" t="s">
        <v>8</v>
      </c>
      <c r="E141" s="58">
        <v>3.0</v>
      </c>
      <c r="F141" s="56" t="s">
        <v>704</v>
      </c>
      <c r="G141" s="56" t="s">
        <v>717</v>
      </c>
      <c r="I141" s="56" t="s">
        <v>398</v>
      </c>
    </row>
    <row r="142">
      <c r="A142" s="56" t="s">
        <v>719</v>
      </c>
      <c r="B142" s="62">
        <v>46202.673125</v>
      </c>
      <c r="C142" s="56" t="s">
        <v>331</v>
      </c>
      <c r="D142" s="56" t="s">
        <v>9</v>
      </c>
      <c r="E142" s="58">
        <v>3.0</v>
      </c>
      <c r="F142" s="56" t="s">
        <v>704</v>
      </c>
      <c r="G142" s="56" t="s">
        <v>717</v>
      </c>
      <c r="I142" s="56" t="s">
        <v>398</v>
      </c>
    </row>
    <row r="143">
      <c r="A143" s="56" t="s">
        <v>720</v>
      </c>
      <c r="B143" s="62">
        <v>46202.673125</v>
      </c>
      <c r="C143" s="56" t="s">
        <v>331</v>
      </c>
      <c r="D143" s="56" t="s">
        <v>10</v>
      </c>
      <c r="E143" s="58">
        <v>2.0</v>
      </c>
      <c r="F143" s="56" t="s">
        <v>704</v>
      </c>
      <c r="G143" s="56" t="s">
        <v>717</v>
      </c>
      <c r="I143" s="56" t="s">
        <v>398</v>
      </c>
    </row>
    <row r="144">
      <c r="A144" s="56" t="s">
        <v>721</v>
      </c>
      <c r="B144" s="62">
        <v>46202.6753125</v>
      </c>
      <c r="C144" s="56" t="s">
        <v>334</v>
      </c>
      <c r="D144" s="56" t="s">
        <v>7</v>
      </c>
      <c r="E144" s="58">
        <v>2.0</v>
      </c>
      <c r="F144" s="56" t="s">
        <v>704</v>
      </c>
      <c r="G144" s="56" t="s">
        <v>722</v>
      </c>
      <c r="I144" s="56" t="s">
        <v>398</v>
      </c>
    </row>
    <row r="145">
      <c r="A145" s="56" t="s">
        <v>723</v>
      </c>
      <c r="B145" s="62">
        <v>46202.6753125</v>
      </c>
      <c r="C145" s="56" t="s">
        <v>334</v>
      </c>
      <c r="D145" s="56" t="s">
        <v>8</v>
      </c>
      <c r="E145" s="58">
        <v>3.0</v>
      </c>
      <c r="F145" s="56" t="s">
        <v>704</v>
      </c>
      <c r="G145" s="56" t="s">
        <v>722</v>
      </c>
      <c r="I145" s="56" t="s">
        <v>398</v>
      </c>
    </row>
    <row r="146">
      <c r="A146" s="56" t="s">
        <v>724</v>
      </c>
      <c r="B146" s="62">
        <v>46202.6753125</v>
      </c>
      <c r="C146" s="56" t="s">
        <v>334</v>
      </c>
      <c r="D146" s="56" t="s">
        <v>9</v>
      </c>
      <c r="E146" s="58">
        <v>3.0</v>
      </c>
      <c r="F146" s="56" t="s">
        <v>704</v>
      </c>
      <c r="G146" s="56" t="s">
        <v>722</v>
      </c>
      <c r="I146" s="56" t="s">
        <v>398</v>
      </c>
    </row>
    <row r="147">
      <c r="A147" s="56" t="s">
        <v>725</v>
      </c>
      <c r="B147" s="62">
        <v>46202.6753125</v>
      </c>
      <c r="C147" s="56" t="s">
        <v>334</v>
      </c>
      <c r="D147" s="56" t="s">
        <v>10</v>
      </c>
      <c r="E147" s="58">
        <v>2.0</v>
      </c>
      <c r="F147" s="56" t="s">
        <v>704</v>
      </c>
      <c r="G147" s="56" t="s">
        <v>722</v>
      </c>
      <c r="I147" s="56" t="s">
        <v>398</v>
      </c>
    </row>
    <row r="148">
      <c r="A148" s="56" t="s">
        <v>726</v>
      </c>
      <c r="B148" s="62">
        <v>46202.6865625</v>
      </c>
      <c r="C148" s="56" t="s">
        <v>336</v>
      </c>
      <c r="D148" s="56" t="s">
        <v>7</v>
      </c>
      <c r="E148" s="58">
        <v>2.0</v>
      </c>
      <c r="F148" s="56" t="s">
        <v>704</v>
      </c>
      <c r="G148" s="56" t="s">
        <v>727</v>
      </c>
      <c r="I148" s="56" t="s">
        <v>398</v>
      </c>
    </row>
    <row r="149">
      <c r="A149" s="56" t="s">
        <v>728</v>
      </c>
      <c r="B149" s="62">
        <v>46202.6865625</v>
      </c>
      <c r="C149" s="56" t="s">
        <v>336</v>
      </c>
      <c r="D149" s="56" t="s">
        <v>8</v>
      </c>
      <c r="E149" s="58">
        <v>3.0</v>
      </c>
      <c r="F149" s="56" t="s">
        <v>704</v>
      </c>
      <c r="G149" s="56" t="s">
        <v>727</v>
      </c>
      <c r="I149" s="56" t="s">
        <v>398</v>
      </c>
    </row>
    <row r="150">
      <c r="A150" s="56" t="s">
        <v>729</v>
      </c>
      <c r="B150" s="62">
        <v>46202.6865625</v>
      </c>
      <c r="C150" s="56" t="s">
        <v>336</v>
      </c>
      <c r="D150" s="56" t="s">
        <v>9</v>
      </c>
      <c r="E150" s="58">
        <v>3.0</v>
      </c>
      <c r="F150" s="56" t="s">
        <v>704</v>
      </c>
      <c r="G150" s="56" t="s">
        <v>727</v>
      </c>
      <c r="I150" s="56" t="s">
        <v>398</v>
      </c>
    </row>
    <row r="151">
      <c r="A151" s="56" t="s">
        <v>730</v>
      </c>
      <c r="B151" s="62">
        <v>46202.6865625</v>
      </c>
      <c r="C151" s="56" t="s">
        <v>336</v>
      </c>
      <c r="D151" s="56" t="s">
        <v>10</v>
      </c>
      <c r="E151" s="58">
        <v>2.0</v>
      </c>
      <c r="F151" s="56" t="s">
        <v>704</v>
      </c>
      <c r="G151" s="56" t="s">
        <v>727</v>
      </c>
      <c r="I151" s="56" t="s">
        <v>398</v>
      </c>
    </row>
    <row r="152">
      <c r="A152" s="56" t="s">
        <v>731</v>
      </c>
      <c r="B152" s="62">
        <v>46202.68952546296</v>
      </c>
      <c r="C152" s="56" t="s">
        <v>339</v>
      </c>
      <c r="D152" s="56" t="s">
        <v>7</v>
      </c>
      <c r="E152" s="58">
        <v>2.0</v>
      </c>
      <c r="F152" s="56" t="s">
        <v>704</v>
      </c>
      <c r="G152" s="56" t="s">
        <v>732</v>
      </c>
      <c r="I152" s="56" t="s">
        <v>398</v>
      </c>
    </row>
    <row r="153">
      <c r="A153" s="56" t="s">
        <v>733</v>
      </c>
      <c r="B153" s="62">
        <v>46202.68952546296</v>
      </c>
      <c r="C153" s="56" t="s">
        <v>339</v>
      </c>
      <c r="D153" s="56" t="s">
        <v>8</v>
      </c>
      <c r="E153" s="58">
        <v>3.0</v>
      </c>
      <c r="F153" s="56" t="s">
        <v>704</v>
      </c>
      <c r="G153" s="56" t="s">
        <v>732</v>
      </c>
      <c r="I153" s="56" t="s">
        <v>398</v>
      </c>
    </row>
    <row r="154">
      <c r="A154" s="56" t="s">
        <v>734</v>
      </c>
      <c r="B154" s="62">
        <v>46202.68952546296</v>
      </c>
      <c r="C154" s="56" t="s">
        <v>339</v>
      </c>
      <c r="D154" s="56" t="s">
        <v>9</v>
      </c>
      <c r="E154" s="58">
        <v>3.0</v>
      </c>
      <c r="F154" s="56" t="s">
        <v>704</v>
      </c>
      <c r="G154" s="56" t="s">
        <v>732</v>
      </c>
      <c r="I154" s="56" t="s">
        <v>398</v>
      </c>
    </row>
    <row r="155">
      <c r="A155" s="56" t="s">
        <v>735</v>
      </c>
      <c r="B155" s="62">
        <v>46202.68952546296</v>
      </c>
      <c r="C155" s="56" t="s">
        <v>339</v>
      </c>
      <c r="D155" s="56" t="s">
        <v>10</v>
      </c>
      <c r="E155" s="58">
        <v>1.0</v>
      </c>
      <c r="F155" s="56" t="s">
        <v>704</v>
      </c>
      <c r="G155" s="56" t="s">
        <v>732</v>
      </c>
      <c r="I155" s="56" t="s">
        <v>398</v>
      </c>
    </row>
    <row r="156">
      <c r="A156" s="56" t="s">
        <v>736</v>
      </c>
      <c r="B156" s="62">
        <v>46202.69163194444</v>
      </c>
      <c r="C156" s="56" t="s">
        <v>341</v>
      </c>
      <c r="D156" s="56" t="s">
        <v>7</v>
      </c>
      <c r="E156" s="58">
        <v>2.0</v>
      </c>
      <c r="F156" s="56" t="s">
        <v>704</v>
      </c>
      <c r="G156" s="56" t="s">
        <v>737</v>
      </c>
      <c r="I156" s="56" t="s">
        <v>398</v>
      </c>
    </row>
    <row r="157">
      <c r="A157" s="56" t="s">
        <v>738</v>
      </c>
      <c r="B157" s="62">
        <v>46202.69163194444</v>
      </c>
      <c r="C157" s="56" t="s">
        <v>341</v>
      </c>
      <c r="D157" s="56" t="s">
        <v>8</v>
      </c>
      <c r="E157" s="58">
        <v>4.0</v>
      </c>
      <c r="F157" s="56" t="s">
        <v>704</v>
      </c>
      <c r="G157" s="56" t="s">
        <v>737</v>
      </c>
      <c r="I157" s="56" t="s">
        <v>398</v>
      </c>
    </row>
    <row r="158">
      <c r="A158" s="56" t="s">
        <v>739</v>
      </c>
      <c r="B158" s="62">
        <v>46202.69163194444</v>
      </c>
      <c r="C158" s="56" t="s">
        <v>341</v>
      </c>
      <c r="D158" s="56" t="s">
        <v>9</v>
      </c>
      <c r="E158" s="58">
        <v>4.0</v>
      </c>
      <c r="F158" s="56" t="s">
        <v>704</v>
      </c>
      <c r="G158" s="56" t="s">
        <v>737</v>
      </c>
      <c r="I158" s="56" t="s">
        <v>398</v>
      </c>
    </row>
    <row r="159">
      <c r="A159" s="56" t="s">
        <v>740</v>
      </c>
      <c r="B159" s="62">
        <v>46202.69163194444</v>
      </c>
      <c r="C159" s="56" t="s">
        <v>341</v>
      </c>
      <c r="D159" s="56" t="s">
        <v>10</v>
      </c>
      <c r="E159" s="58">
        <v>2.0</v>
      </c>
      <c r="F159" s="56" t="s">
        <v>704</v>
      </c>
      <c r="G159" s="56" t="s">
        <v>737</v>
      </c>
      <c r="I159" s="56" t="s">
        <v>398</v>
      </c>
    </row>
    <row r="160">
      <c r="A160" s="56" t="s">
        <v>741</v>
      </c>
      <c r="B160" s="62">
        <v>46202.71289351852</v>
      </c>
      <c r="C160" s="56" t="s">
        <v>343</v>
      </c>
      <c r="D160" s="56" t="s">
        <v>7</v>
      </c>
      <c r="E160" s="58">
        <v>2.0</v>
      </c>
      <c r="F160" s="56" t="s">
        <v>704</v>
      </c>
      <c r="G160" s="56" t="s">
        <v>742</v>
      </c>
      <c r="I160" s="56" t="s">
        <v>398</v>
      </c>
    </row>
    <row r="161">
      <c r="A161" s="56" t="s">
        <v>743</v>
      </c>
      <c r="B161" s="62">
        <v>46202.71289351852</v>
      </c>
      <c r="C161" s="56" t="s">
        <v>343</v>
      </c>
      <c r="D161" s="56" t="s">
        <v>8</v>
      </c>
      <c r="E161" s="58">
        <v>4.0</v>
      </c>
      <c r="F161" s="56" t="s">
        <v>704</v>
      </c>
      <c r="G161" s="56" t="s">
        <v>742</v>
      </c>
      <c r="I161" s="56" t="s">
        <v>398</v>
      </c>
    </row>
    <row r="162">
      <c r="A162" s="56" t="s">
        <v>744</v>
      </c>
      <c r="B162" s="62">
        <v>46202.71289351852</v>
      </c>
      <c r="C162" s="56" t="s">
        <v>343</v>
      </c>
      <c r="D162" s="56" t="s">
        <v>9</v>
      </c>
      <c r="E162" s="58">
        <v>3.0</v>
      </c>
      <c r="F162" s="56" t="s">
        <v>704</v>
      </c>
      <c r="G162" s="56" t="s">
        <v>742</v>
      </c>
      <c r="I162" s="56" t="s">
        <v>398</v>
      </c>
    </row>
    <row r="163">
      <c r="A163" s="56" t="s">
        <v>745</v>
      </c>
      <c r="B163" s="62">
        <v>46202.71289351852</v>
      </c>
      <c r="C163" s="56" t="s">
        <v>343</v>
      </c>
      <c r="D163" s="56" t="s">
        <v>10</v>
      </c>
      <c r="E163" s="58">
        <v>1.0</v>
      </c>
      <c r="F163" s="56" t="s">
        <v>704</v>
      </c>
      <c r="G163" s="56" t="s">
        <v>742</v>
      </c>
      <c r="I163" s="56" t="s">
        <v>398</v>
      </c>
    </row>
    <row r="164">
      <c r="A164" s="56" t="s">
        <v>746</v>
      </c>
      <c r="B164" s="62">
        <v>46202.71425925926</v>
      </c>
      <c r="C164" s="56" t="s">
        <v>345</v>
      </c>
      <c r="D164" s="56" t="s">
        <v>8</v>
      </c>
      <c r="E164" s="58">
        <v>4.0</v>
      </c>
      <c r="F164" s="56" t="s">
        <v>704</v>
      </c>
      <c r="G164" s="56" t="s">
        <v>747</v>
      </c>
      <c r="I164" s="56" t="s">
        <v>398</v>
      </c>
    </row>
    <row r="165">
      <c r="A165" s="56" t="s">
        <v>748</v>
      </c>
      <c r="B165" s="62">
        <v>46202.71425925926</v>
      </c>
      <c r="C165" s="56" t="s">
        <v>345</v>
      </c>
      <c r="D165" s="56" t="s">
        <v>9</v>
      </c>
      <c r="E165" s="58">
        <v>3.0</v>
      </c>
      <c r="F165" s="56" t="s">
        <v>704</v>
      </c>
      <c r="G165" s="56" t="s">
        <v>747</v>
      </c>
      <c r="I165" s="56" t="s">
        <v>398</v>
      </c>
    </row>
    <row r="166">
      <c r="A166" s="56" t="s">
        <v>749</v>
      </c>
      <c r="B166" s="62">
        <v>46202.71425925926</v>
      </c>
      <c r="C166" s="56" t="s">
        <v>345</v>
      </c>
      <c r="D166" s="56" t="s">
        <v>10</v>
      </c>
      <c r="E166" s="58">
        <v>1.0</v>
      </c>
      <c r="F166" s="56" t="s">
        <v>704</v>
      </c>
      <c r="G166" s="56" t="s">
        <v>747</v>
      </c>
      <c r="I166" s="56" t="s">
        <v>398</v>
      </c>
    </row>
    <row r="167">
      <c r="A167" s="56" t="s">
        <v>750</v>
      </c>
      <c r="B167" s="62">
        <v>46202.71487268519</v>
      </c>
      <c r="C167" s="56" t="s">
        <v>347</v>
      </c>
      <c r="D167" s="56" t="s">
        <v>7</v>
      </c>
      <c r="E167" s="58">
        <v>2.0</v>
      </c>
      <c r="F167" s="56" t="s">
        <v>704</v>
      </c>
      <c r="G167" s="56" t="s">
        <v>751</v>
      </c>
      <c r="I167" s="56" t="s">
        <v>398</v>
      </c>
    </row>
    <row r="168">
      <c r="A168" s="56" t="s">
        <v>752</v>
      </c>
      <c r="B168" s="62">
        <v>46202.71487268519</v>
      </c>
      <c r="C168" s="56" t="s">
        <v>347</v>
      </c>
      <c r="D168" s="56" t="s">
        <v>8</v>
      </c>
      <c r="E168" s="58">
        <v>3.0</v>
      </c>
      <c r="F168" s="56" t="s">
        <v>704</v>
      </c>
      <c r="G168" s="56" t="s">
        <v>751</v>
      </c>
      <c r="I168" s="56" t="s">
        <v>398</v>
      </c>
    </row>
    <row r="169">
      <c r="A169" s="56" t="s">
        <v>753</v>
      </c>
      <c r="B169" s="62">
        <v>46202.71487268519</v>
      </c>
      <c r="C169" s="56" t="s">
        <v>347</v>
      </c>
      <c r="D169" s="56" t="s">
        <v>9</v>
      </c>
      <c r="E169" s="58">
        <v>3.0</v>
      </c>
      <c r="F169" s="56" t="s">
        <v>704</v>
      </c>
      <c r="G169" s="56" t="s">
        <v>751</v>
      </c>
      <c r="I169" s="56" t="s">
        <v>398</v>
      </c>
    </row>
    <row r="170">
      <c r="A170" s="56" t="s">
        <v>754</v>
      </c>
      <c r="B170" s="62">
        <v>46202.71487268519</v>
      </c>
      <c r="C170" s="56" t="s">
        <v>347</v>
      </c>
      <c r="D170" s="56" t="s">
        <v>10</v>
      </c>
      <c r="E170" s="58">
        <v>2.0</v>
      </c>
      <c r="F170" s="56" t="s">
        <v>704</v>
      </c>
      <c r="G170" s="56" t="s">
        <v>751</v>
      </c>
      <c r="I170" s="56" t="s">
        <v>398</v>
      </c>
    </row>
    <row r="171">
      <c r="A171" s="56" t="s">
        <v>755</v>
      </c>
      <c r="B171" s="62">
        <v>46202.73081018519</v>
      </c>
      <c r="C171" s="56" t="s">
        <v>350</v>
      </c>
      <c r="D171" s="56" t="s">
        <v>7</v>
      </c>
      <c r="E171" s="58">
        <v>2.0</v>
      </c>
      <c r="F171" s="56" t="s">
        <v>704</v>
      </c>
      <c r="G171" s="56" t="s">
        <v>756</v>
      </c>
      <c r="I171" s="56" t="s">
        <v>398</v>
      </c>
    </row>
    <row r="172">
      <c r="A172" s="56" t="s">
        <v>757</v>
      </c>
      <c r="B172" s="62">
        <v>46202.73081018519</v>
      </c>
      <c r="C172" s="56" t="s">
        <v>350</v>
      </c>
      <c r="D172" s="56" t="s">
        <v>8</v>
      </c>
      <c r="E172" s="58">
        <v>4.0</v>
      </c>
      <c r="F172" s="56" t="s">
        <v>704</v>
      </c>
      <c r="G172" s="56" t="s">
        <v>756</v>
      </c>
      <c r="I172" s="56" t="s">
        <v>398</v>
      </c>
    </row>
    <row r="173">
      <c r="A173" s="56" t="s">
        <v>758</v>
      </c>
      <c r="B173" s="62">
        <v>46202.73081018519</v>
      </c>
      <c r="C173" s="56" t="s">
        <v>350</v>
      </c>
      <c r="D173" s="56" t="s">
        <v>9</v>
      </c>
      <c r="E173" s="58">
        <v>4.0</v>
      </c>
      <c r="F173" s="56" t="s">
        <v>704</v>
      </c>
      <c r="G173" s="56" t="s">
        <v>756</v>
      </c>
      <c r="I173" s="56" t="s">
        <v>398</v>
      </c>
    </row>
    <row r="174">
      <c r="A174" s="56" t="s">
        <v>759</v>
      </c>
      <c r="B174" s="62">
        <v>46202.73081018519</v>
      </c>
      <c r="C174" s="56" t="s">
        <v>350</v>
      </c>
      <c r="D174" s="56" t="s">
        <v>10</v>
      </c>
      <c r="E174" s="58">
        <v>2.0</v>
      </c>
      <c r="F174" s="56" t="s">
        <v>704</v>
      </c>
      <c r="G174" s="56" t="s">
        <v>756</v>
      </c>
      <c r="I174" s="56" t="s">
        <v>398</v>
      </c>
    </row>
    <row r="175">
      <c r="A175" s="56" t="s">
        <v>760</v>
      </c>
      <c r="B175" s="62">
        <v>46202.73224537037</v>
      </c>
      <c r="C175" s="56" t="s">
        <v>353</v>
      </c>
      <c r="D175" s="56" t="s">
        <v>7</v>
      </c>
      <c r="E175" s="58">
        <v>1.0</v>
      </c>
      <c r="F175" s="56" t="s">
        <v>704</v>
      </c>
      <c r="G175" s="56" t="s">
        <v>761</v>
      </c>
      <c r="I175" s="56" t="s">
        <v>398</v>
      </c>
    </row>
    <row r="176">
      <c r="A176" s="56" t="s">
        <v>762</v>
      </c>
      <c r="B176" s="62">
        <v>46202.73224537037</v>
      </c>
      <c r="C176" s="56" t="s">
        <v>353</v>
      </c>
      <c r="D176" s="56" t="s">
        <v>8</v>
      </c>
      <c r="E176" s="58">
        <v>2.0</v>
      </c>
      <c r="F176" s="56" t="s">
        <v>704</v>
      </c>
      <c r="G176" s="56" t="s">
        <v>761</v>
      </c>
      <c r="I176" s="56" t="s">
        <v>398</v>
      </c>
    </row>
    <row r="177">
      <c r="A177" s="56" t="s">
        <v>763</v>
      </c>
      <c r="B177" s="62">
        <v>46202.73224537037</v>
      </c>
      <c r="C177" s="56" t="s">
        <v>353</v>
      </c>
      <c r="D177" s="56" t="s">
        <v>9</v>
      </c>
      <c r="E177" s="58">
        <v>2.0</v>
      </c>
      <c r="F177" s="56" t="s">
        <v>704</v>
      </c>
      <c r="G177" s="56" t="s">
        <v>761</v>
      </c>
      <c r="I177" s="56" t="s">
        <v>398</v>
      </c>
    </row>
    <row r="178">
      <c r="A178" s="56" t="s">
        <v>764</v>
      </c>
      <c r="B178" s="62">
        <v>46202.73224537037</v>
      </c>
      <c r="C178" s="56" t="s">
        <v>353</v>
      </c>
      <c r="D178" s="56" t="s">
        <v>10</v>
      </c>
      <c r="E178" s="58">
        <v>2.0</v>
      </c>
      <c r="F178" s="56" t="s">
        <v>704</v>
      </c>
      <c r="G178" s="56" t="s">
        <v>761</v>
      </c>
      <c r="I178" s="56" t="s">
        <v>398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765</v>
      </c>
      <c r="B1" s="63" t="s">
        <v>766</v>
      </c>
      <c r="C1" s="63" t="s">
        <v>767</v>
      </c>
      <c r="D1" s="63" t="s">
        <v>768</v>
      </c>
      <c r="E1" s="63" t="s">
        <v>769</v>
      </c>
      <c r="F1" s="63" t="s">
        <v>770</v>
      </c>
      <c r="G1" s="63" t="s">
        <v>771</v>
      </c>
      <c r="H1" s="63" t="s">
        <v>772</v>
      </c>
      <c r="I1" s="63" t="s">
        <v>773</v>
      </c>
      <c r="J1" s="63" t="s">
        <v>774</v>
      </c>
    </row>
    <row r="2">
      <c r="A2" s="56" t="s">
        <v>775</v>
      </c>
      <c r="B2" s="56" t="s">
        <v>776</v>
      </c>
      <c r="C2" s="56" t="s">
        <v>777</v>
      </c>
      <c r="D2" s="64" t="s">
        <v>778</v>
      </c>
      <c r="E2" s="56" t="s">
        <v>779</v>
      </c>
      <c r="F2" s="56" t="s">
        <v>780</v>
      </c>
      <c r="G2" s="56" t="s">
        <v>781</v>
      </c>
      <c r="H2" s="56" t="s">
        <v>782</v>
      </c>
      <c r="I2" s="56" t="s">
        <v>783</v>
      </c>
      <c r="J2" s="65">
        <v>46203.0</v>
      </c>
    </row>
    <row r="3">
      <c r="A3" s="56" t="s">
        <v>784</v>
      </c>
      <c r="B3" s="56" t="s">
        <v>785</v>
      </c>
      <c r="C3" s="56" t="s">
        <v>786</v>
      </c>
      <c r="D3" s="64" t="s">
        <v>787</v>
      </c>
      <c r="E3" s="56" t="s">
        <v>788</v>
      </c>
      <c r="F3" s="56" t="s">
        <v>789</v>
      </c>
      <c r="G3" s="56" t="s">
        <v>790</v>
      </c>
      <c r="H3" s="56" t="s">
        <v>782</v>
      </c>
      <c r="I3" s="56" t="s">
        <v>791</v>
      </c>
      <c r="J3" s="65">
        <v>46203.0</v>
      </c>
    </row>
    <row r="4">
      <c r="A4" s="56" t="s">
        <v>792</v>
      </c>
      <c r="B4" s="56" t="s">
        <v>793</v>
      </c>
      <c r="C4" s="56" t="s">
        <v>794</v>
      </c>
      <c r="D4" s="64" t="s">
        <v>795</v>
      </c>
      <c r="E4" s="56" t="s">
        <v>796</v>
      </c>
      <c r="F4" s="56" t="s">
        <v>797</v>
      </c>
      <c r="G4" s="56" t="s">
        <v>798</v>
      </c>
      <c r="H4" s="56" t="s">
        <v>782</v>
      </c>
      <c r="J4" s="65">
        <v>46203.0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799</v>
      </c>
      <c r="B1" s="63" t="s">
        <v>800</v>
      </c>
      <c r="C1" s="63" t="s">
        <v>801</v>
      </c>
      <c r="D1" s="63" t="s">
        <v>802</v>
      </c>
      <c r="E1" s="63" t="s">
        <v>803</v>
      </c>
      <c r="F1" s="63" t="s">
        <v>804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805</v>
      </c>
      <c r="N1" s="63" t="s">
        <v>806</v>
      </c>
      <c r="O1" s="63" t="s">
        <v>807</v>
      </c>
      <c r="P1" s="63" t="s">
        <v>808</v>
      </c>
      <c r="Q1" s="63" t="s">
        <v>809</v>
      </c>
      <c r="R1" s="63" t="s">
        <v>810</v>
      </c>
      <c r="S1" s="63" t="s">
        <v>811</v>
      </c>
      <c r="T1" s="63" t="s">
        <v>812</v>
      </c>
      <c r="U1" s="63" t="s">
        <v>771</v>
      </c>
      <c r="V1" s="63" t="s">
        <v>813</v>
      </c>
      <c r="W1" s="63" t="s">
        <v>814</v>
      </c>
      <c r="X1" s="63" t="s">
        <v>815</v>
      </c>
      <c r="Y1" s="63" t="s">
        <v>816</v>
      </c>
      <c r="Z1" s="63" t="s">
        <v>773</v>
      </c>
      <c r="AA1" s="63" t="s">
        <v>774</v>
      </c>
    </row>
    <row r="2">
      <c r="B2" s="65"/>
      <c r="Y2" s="65"/>
      <c r="AA2" s="65"/>
    </row>
    <row r="3">
      <c r="B3" s="65"/>
      <c r="AA3" s="65"/>
    </row>
    <row r="4">
      <c r="B4" s="65"/>
      <c r="AA4" s="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817</v>
      </c>
      <c r="B1" s="63" t="s">
        <v>800</v>
      </c>
      <c r="C1" s="63" t="s">
        <v>799</v>
      </c>
      <c r="D1" s="63" t="s">
        <v>806</v>
      </c>
      <c r="E1" s="63" t="s">
        <v>804</v>
      </c>
      <c r="F1" s="63" t="s">
        <v>801</v>
      </c>
      <c r="G1" s="63" t="s">
        <v>803</v>
      </c>
      <c r="H1" s="63" t="s">
        <v>6</v>
      </c>
      <c r="I1" s="63" t="s">
        <v>7</v>
      </c>
      <c r="J1" s="63" t="s">
        <v>8</v>
      </c>
      <c r="K1" s="63" t="s">
        <v>9</v>
      </c>
      <c r="L1" s="63" t="s">
        <v>10</v>
      </c>
      <c r="M1" s="63" t="s">
        <v>11</v>
      </c>
      <c r="N1" s="63" t="s">
        <v>810</v>
      </c>
      <c r="O1" s="63" t="s">
        <v>818</v>
      </c>
      <c r="P1" s="63" t="s">
        <v>819</v>
      </c>
      <c r="Q1" s="63" t="s">
        <v>820</v>
      </c>
      <c r="R1" s="63" t="s">
        <v>821</v>
      </c>
      <c r="S1" s="63" t="s">
        <v>822</v>
      </c>
      <c r="T1" s="63" t="s">
        <v>823</v>
      </c>
      <c r="U1" s="63" t="s">
        <v>824</v>
      </c>
      <c r="V1" s="63" t="s">
        <v>825</v>
      </c>
      <c r="W1" s="63" t="s">
        <v>773</v>
      </c>
      <c r="X1" s="63" t="s">
        <v>774</v>
      </c>
    </row>
    <row r="2">
      <c r="B2" s="65"/>
      <c r="X2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8.5"/>
    <col customWidth="1" min="3" max="3" width="18.13"/>
    <col customWidth="1" min="14" max="14" width="9.5"/>
  </cols>
  <sheetData>
    <row r="1" ht="33.0" customHeight="1">
      <c r="A1" s="63" t="s">
        <v>826</v>
      </c>
      <c r="B1" s="63" t="s">
        <v>804</v>
      </c>
      <c r="C1" s="63" t="s">
        <v>827</v>
      </c>
      <c r="D1" s="63" t="s">
        <v>801</v>
      </c>
      <c r="E1" s="63" t="s">
        <v>802</v>
      </c>
      <c r="F1" s="63" t="s">
        <v>803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828</v>
      </c>
      <c r="N1" s="63" t="s">
        <v>774</v>
      </c>
    </row>
    <row r="2" ht="23.25" customHeight="1">
      <c r="A2" s="66" t="s">
        <v>829</v>
      </c>
      <c r="B2" s="56" t="s">
        <v>830</v>
      </c>
      <c r="C2" s="56" t="s">
        <v>831</v>
      </c>
      <c r="D2" s="56" t="s">
        <v>832</v>
      </c>
      <c r="E2" s="56" t="s">
        <v>833</v>
      </c>
      <c r="F2" s="56" t="s">
        <v>834</v>
      </c>
      <c r="G2" s="58">
        <v>8.0</v>
      </c>
      <c r="H2" s="58">
        <v>14.0</v>
      </c>
      <c r="I2" s="58">
        <v>16.0</v>
      </c>
      <c r="J2" s="58">
        <v>10.0</v>
      </c>
      <c r="K2" s="58">
        <v>4.0</v>
      </c>
      <c r="L2" s="58">
        <v>0.0</v>
      </c>
      <c r="M2" s="58">
        <v>52.0</v>
      </c>
      <c r="N2" s="65">
        <v>46203.0</v>
      </c>
    </row>
    <row r="3" ht="23.25" customHeight="1">
      <c r="B3" s="56" t="s">
        <v>835</v>
      </c>
      <c r="C3" s="56" t="s">
        <v>831</v>
      </c>
      <c r="D3" s="56" t="s">
        <v>832</v>
      </c>
      <c r="E3" s="56" t="s">
        <v>833</v>
      </c>
      <c r="F3" s="56" t="s">
        <v>836</v>
      </c>
      <c r="G3" s="58">
        <v>6.0</v>
      </c>
      <c r="H3" s="58">
        <v>11.0</v>
      </c>
      <c r="I3" s="58">
        <v>9.0</v>
      </c>
      <c r="J3" s="58">
        <v>7.0</v>
      </c>
      <c r="K3" s="58">
        <v>2.0</v>
      </c>
      <c r="L3" s="58">
        <v>0.0</v>
      </c>
      <c r="M3" s="58">
        <v>35.0</v>
      </c>
      <c r="N3" s="65">
        <v>46203.0</v>
      </c>
    </row>
    <row r="4" ht="23.25" customHeight="1">
      <c r="B4" s="56" t="s">
        <v>837</v>
      </c>
      <c r="C4" s="56" t="s">
        <v>838</v>
      </c>
      <c r="D4" s="56" t="s">
        <v>839</v>
      </c>
      <c r="E4" s="56" t="s">
        <v>840</v>
      </c>
      <c r="F4" s="56" t="s">
        <v>841</v>
      </c>
      <c r="G4" s="58">
        <v>4.0</v>
      </c>
      <c r="H4" s="58">
        <v>9.0</v>
      </c>
      <c r="I4" s="58">
        <v>12.0</v>
      </c>
      <c r="J4" s="58">
        <v>8.0</v>
      </c>
      <c r="K4" s="58">
        <v>3.0</v>
      </c>
      <c r="L4" s="58">
        <v>1.0</v>
      </c>
      <c r="M4" s="58">
        <v>37.0</v>
      </c>
      <c r="N4" s="65">
        <v>46203.0</v>
      </c>
    </row>
    <row r="5" ht="23.25" customHeight="1">
      <c r="B5" s="56" t="s">
        <v>842</v>
      </c>
      <c r="C5" s="56" t="s">
        <v>838</v>
      </c>
      <c r="D5" s="56" t="s">
        <v>839</v>
      </c>
      <c r="E5" s="56" t="s">
        <v>840</v>
      </c>
      <c r="F5" s="56" t="s">
        <v>834</v>
      </c>
      <c r="G5" s="58">
        <v>1.0</v>
      </c>
      <c r="H5" s="58">
        <v>2.0</v>
      </c>
      <c r="I5" s="58">
        <v>0.0</v>
      </c>
      <c r="J5" s="58">
        <v>0.0</v>
      </c>
      <c r="K5" s="58">
        <v>0.0</v>
      </c>
      <c r="L5" s="58">
        <v>0.0</v>
      </c>
      <c r="M5" s="58">
        <v>3.0</v>
      </c>
      <c r="N5" s="65">
        <v>46203.0</v>
      </c>
    </row>
    <row r="6" ht="23.25" customHeight="1">
      <c r="A6" s="66" t="s">
        <v>843</v>
      </c>
      <c r="B6" s="56" t="s">
        <v>844</v>
      </c>
      <c r="C6" s="56" t="s">
        <v>845</v>
      </c>
      <c r="D6" s="56" t="s">
        <v>846</v>
      </c>
      <c r="E6" s="56" t="s">
        <v>833</v>
      </c>
      <c r="F6" s="56" t="s">
        <v>847</v>
      </c>
      <c r="G6" s="58">
        <v>7.0</v>
      </c>
      <c r="H6" s="58">
        <v>13.0</v>
      </c>
      <c r="I6" s="58">
        <v>15.0</v>
      </c>
      <c r="J6" s="58">
        <v>9.0</v>
      </c>
      <c r="K6" s="58">
        <v>5.0</v>
      </c>
      <c r="L6" s="58">
        <v>2.0</v>
      </c>
      <c r="M6" s="58">
        <v>51.0</v>
      </c>
      <c r="N6" s="65">
        <v>46203.0</v>
      </c>
    </row>
    <row r="7" ht="23.25" customHeight="1">
      <c r="A7" s="66" t="s">
        <v>848</v>
      </c>
      <c r="B7" s="56" t="s">
        <v>849</v>
      </c>
      <c r="C7" s="56" t="s">
        <v>850</v>
      </c>
      <c r="D7" s="56" t="s">
        <v>851</v>
      </c>
      <c r="E7" s="56" t="s">
        <v>852</v>
      </c>
      <c r="F7" s="56" t="s">
        <v>834</v>
      </c>
      <c r="G7" s="58">
        <v>10.0</v>
      </c>
      <c r="H7" s="58">
        <v>18.0</v>
      </c>
      <c r="I7" s="58">
        <v>20.0</v>
      </c>
      <c r="J7" s="58">
        <v>14.0</v>
      </c>
      <c r="K7" s="58">
        <v>6.0</v>
      </c>
      <c r="L7" s="58">
        <v>2.0</v>
      </c>
      <c r="M7" s="58">
        <v>70.0</v>
      </c>
      <c r="N7" s="65">
        <v>46203.0</v>
      </c>
    </row>
    <row r="8" ht="23.25" customHeight="1">
      <c r="A8" s="66" t="s">
        <v>853</v>
      </c>
      <c r="B8" s="56" t="s">
        <v>854</v>
      </c>
      <c r="C8" s="56" t="s">
        <v>850</v>
      </c>
      <c r="D8" s="56" t="s">
        <v>851</v>
      </c>
      <c r="E8" s="56" t="s">
        <v>852</v>
      </c>
      <c r="F8" s="56" t="s">
        <v>836</v>
      </c>
      <c r="G8" s="58">
        <v>9.0</v>
      </c>
      <c r="H8" s="58">
        <v>16.0</v>
      </c>
      <c r="I8" s="58">
        <v>17.0</v>
      </c>
      <c r="J8" s="58">
        <v>11.0</v>
      </c>
      <c r="K8" s="58">
        <v>4.0</v>
      </c>
      <c r="L8" s="58">
        <v>1.0</v>
      </c>
      <c r="M8" s="58">
        <v>58.0</v>
      </c>
      <c r="N8" s="65">
        <v>46203.0</v>
      </c>
    </row>
  </sheetData>
  <hyperlinks>
    <hyperlink r:id="rId1" ref="A2"/>
    <hyperlink r:id="rId2" ref="A6"/>
    <hyperlink r:id="rId3" ref="A7"/>
    <hyperlink r:id="rId4" ref="A8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855</v>
      </c>
      <c r="B1" s="63" t="s">
        <v>800</v>
      </c>
      <c r="C1" s="63" t="s">
        <v>856</v>
      </c>
      <c r="D1" s="63" t="s">
        <v>857</v>
      </c>
      <c r="E1" s="63" t="s">
        <v>767</v>
      </c>
      <c r="F1" s="63" t="s">
        <v>804</v>
      </c>
      <c r="G1" s="63" t="s">
        <v>858</v>
      </c>
      <c r="H1" s="63" t="s">
        <v>859</v>
      </c>
      <c r="I1" s="63" t="s">
        <v>772</v>
      </c>
      <c r="J1" s="63" t="s">
        <v>774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3.88"/>
  </cols>
  <sheetData>
    <row r="1">
      <c r="A1" s="63" t="s">
        <v>860</v>
      </c>
      <c r="B1" s="63" t="s">
        <v>804</v>
      </c>
      <c r="C1" s="63" t="s">
        <v>858</v>
      </c>
      <c r="D1" s="63" t="s">
        <v>861</v>
      </c>
      <c r="E1" s="63" t="s">
        <v>862</v>
      </c>
      <c r="F1" s="63" t="s">
        <v>863</v>
      </c>
      <c r="G1" s="63" t="s">
        <v>864</v>
      </c>
    </row>
    <row r="2">
      <c r="A2" s="67"/>
    </row>
    <row r="3">
      <c r="A3" s="67"/>
    </row>
    <row r="4">
      <c r="A4" s="67"/>
    </row>
    <row r="5">
      <c r="A5" s="67"/>
    </row>
    <row r="6">
      <c r="A6" s="67"/>
    </row>
    <row r="7">
      <c r="A7" s="6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865</v>
      </c>
    </row>
    <row r="2">
      <c r="A2" s="56" t="s">
        <v>866</v>
      </c>
    </row>
    <row r="3">
      <c r="A3" s="56" t="s">
        <v>867</v>
      </c>
    </row>
    <row r="5">
      <c r="A5" s="56" t="s">
        <v>868</v>
      </c>
    </row>
    <row r="6">
      <c r="A6" s="56" t="s">
        <v>869</v>
      </c>
    </row>
    <row r="7">
      <c r="A7" s="56" t="s">
        <v>870</v>
      </c>
    </row>
    <row r="8">
      <c r="A8" s="56" t="s">
        <v>871</v>
      </c>
    </row>
    <row r="9">
      <c r="A9" s="56" t="s">
        <v>872</v>
      </c>
    </row>
    <row r="10">
      <c r="A10" s="56" t="s">
        <v>873</v>
      </c>
    </row>
    <row r="11">
      <c r="A11" s="56" t="s">
        <v>874</v>
      </c>
    </row>
    <row r="12">
      <c r="A12" s="56" t="s">
        <v>875</v>
      </c>
    </row>
    <row r="13">
      <c r="A13" s="56" t="s">
        <v>876</v>
      </c>
    </row>
    <row r="14">
      <c r="A14" s="56" t="s">
        <v>877</v>
      </c>
    </row>
    <row r="15">
      <c r="A15" s="56" t="s">
        <v>878</v>
      </c>
      <c r="M15" s="68" t="s">
        <v>879</v>
      </c>
    </row>
    <row r="16">
      <c r="A16" s="56" t="s">
        <v>880</v>
      </c>
      <c r="M16" s="56" t="s">
        <v>866</v>
      </c>
    </row>
    <row r="17">
      <c r="A17" s="56" t="s">
        <v>881</v>
      </c>
      <c r="M17" s="56" t="s">
        <v>867</v>
      </c>
    </row>
    <row r="18">
      <c r="A18" s="56" t="s">
        <v>882</v>
      </c>
    </row>
    <row r="19">
      <c r="A19" s="56" t="s">
        <v>883</v>
      </c>
      <c r="M19" s="56" t="s">
        <v>868</v>
      </c>
    </row>
    <row r="20">
      <c r="A20" s="56" t="s">
        <v>884</v>
      </c>
      <c r="M20" s="56" t="s">
        <v>869</v>
      </c>
    </row>
    <row r="21">
      <c r="A21" s="56" t="s">
        <v>885</v>
      </c>
      <c r="M21" s="56" t="s">
        <v>870</v>
      </c>
    </row>
    <row r="22">
      <c r="A22" s="56" t="s">
        <v>886</v>
      </c>
      <c r="M22" s="56" t="s">
        <v>887</v>
      </c>
    </row>
    <row r="23">
      <c r="A23" s="56" t="s">
        <v>888</v>
      </c>
      <c r="M23" s="56" t="s">
        <v>871</v>
      </c>
    </row>
    <row r="24">
      <c r="A24" s="56" t="s">
        <v>889</v>
      </c>
      <c r="M24" s="56" t="s">
        <v>872</v>
      </c>
    </row>
    <row r="25">
      <c r="A25" s="56" t="s">
        <v>890</v>
      </c>
      <c r="M25" s="56" t="s">
        <v>891</v>
      </c>
    </row>
    <row r="26">
      <c r="A26" s="56" t="s">
        <v>892</v>
      </c>
      <c r="M26" s="56" t="s">
        <v>876</v>
      </c>
    </row>
    <row r="27">
      <c r="A27" s="56" t="s">
        <v>893</v>
      </c>
      <c r="M27" s="56" t="s">
        <v>894</v>
      </c>
    </row>
    <row r="28">
      <c r="A28" s="56" t="s">
        <v>895</v>
      </c>
      <c r="M28" s="56" t="s">
        <v>878</v>
      </c>
    </row>
    <row r="29">
      <c r="A29" s="56" t="s">
        <v>896</v>
      </c>
      <c r="M29" s="56" t="s">
        <v>897</v>
      </c>
    </row>
    <row r="30">
      <c r="A30" s="56" t="s">
        <v>898</v>
      </c>
      <c r="M30" s="56" t="s">
        <v>899</v>
      </c>
    </row>
    <row r="31">
      <c r="A31" s="56" t="s">
        <v>900</v>
      </c>
      <c r="M31" s="56" t="s">
        <v>881</v>
      </c>
    </row>
    <row r="32">
      <c r="A32" s="56" t="s">
        <v>901</v>
      </c>
      <c r="M32" s="56" t="s">
        <v>882</v>
      </c>
    </row>
    <row r="33">
      <c r="A33" s="56" t="s">
        <v>902</v>
      </c>
      <c r="M33" s="56" t="s">
        <v>903</v>
      </c>
    </row>
    <row r="34">
      <c r="A34" s="56" t="s">
        <v>904</v>
      </c>
      <c r="M34" s="56" t="s">
        <v>905</v>
      </c>
    </row>
    <row r="35">
      <c r="A35" s="56" t="s">
        <v>906</v>
      </c>
      <c r="M35" s="56" t="s">
        <v>907</v>
      </c>
    </row>
    <row r="36">
      <c r="A36" s="56" t="s">
        <v>908</v>
      </c>
    </row>
    <row r="37">
      <c r="A37" s="56" t="s">
        <v>909</v>
      </c>
      <c r="M37" s="56" t="s">
        <v>910</v>
      </c>
    </row>
    <row r="38">
      <c r="A38" s="56" t="s">
        <v>911</v>
      </c>
      <c r="M38" s="56" t="s">
        <v>912</v>
      </c>
    </row>
    <row r="39">
      <c r="A39" s="56" t="s">
        <v>913</v>
      </c>
      <c r="M39" s="56" t="s">
        <v>914</v>
      </c>
    </row>
    <row r="40">
      <c r="A40" s="56" t="s">
        <v>915</v>
      </c>
      <c r="M40" s="56" t="s">
        <v>916</v>
      </c>
    </row>
    <row r="41">
      <c r="A41" s="56" t="s">
        <v>917</v>
      </c>
      <c r="M41" s="56" t="s">
        <v>918</v>
      </c>
    </row>
    <row r="42">
      <c r="A42" s="56" t="s">
        <v>919</v>
      </c>
      <c r="M42" s="56" t="s">
        <v>920</v>
      </c>
    </row>
    <row r="43">
      <c r="A43" s="56" t="s">
        <v>921</v>
      </c>
      <c r="M43" s="56" t="s">
        <v>922</v>
      </c>
    </row>
    <row r="44">
      <c r="A44" s="56" t="s">
        <v>923</v>
      </c>
    </row>
    <row r="45">
      <c r="A45" s="56" t="s">
        <v>924</v>
      </c>
      <c r="M45" s="56" t="s">
        <v>925</v>
      </c>
    </row>
    <row r="46">
      <c r="A46" s="56" t="s">
        <v>926</v>
      </c>
      <c r="M46" s="56" t="s">
        <v>927</v>
      </c>
    </row>
    <row r="47">
      <c r="A47" s="56" t="s">
        <v>928</v>
      </c>
      <c r="M47" s="56" t="s">
        <v>929</v>
      </c>
    </row>
    <row r="48">
      <c r="A48" s="56" t="s">
        <v>930</v>
      </c>
      <c r="M48" s="56" t="s">
        <v>931</v>
      </c>
    </row>
    <row r="49">
      <c r="A49" s="56" t="s">
        <v>932</v>
      </c>
    </row>
    <row r="50">
      <c r="M50" s="56" t="s">
        <v>933</v>
      </c>
    </row>
    <row r="51">
      <c r="A51" s="56" t="s">
        <v>934</v>
      </c>
      <c r="M51" s="56" t="s">
        <v>935</v>
      </c>
    </row>
    <row r="52">
      <c r="A52" s="56" t="s">
        <v>936</v>
      </c>
      <c r="M52" s="56" t="s">
        <v>900</v>
      </c>
    </row>
    <row r="53">
      <c r="A53" s="56" t="s">
        <v>937</v>
      </c>
      <c r="M53" s="56" t="s">
        <v>901</v>
      </c>
    </row>
    <row r="54">
      <c r="A54" s="56" t="s">
        <v>938</v>
      </c>
      <c r="M54" s="56" t="s">
        <v>939</v>
      </c>
    </row>
    <row r="55">
      <c r="A55" s="56" t="s">
        <v>932</v>
      </c>
      <c r="M55" s="56" t="s">
        <v>904</v>
      </c>
    </row>
    <row r="56">
      <c r="M56" s="56" t="s">
        <v>940</v>
      </c>
    </row>
    <row r="57">
      <c r="A57" s="56" t="s">
        <v>941</v>
      </c>
      <c r="M57" s="56" t="s">
        <v>942</v>
      </c>
    </row>
    <row r="58">
      <c r="A58" s="56" t="s">
        <v>943</v>
      </c>
      <c r="M58" s="56" t="s">
        <v>944</v>
      </c>
    </row>
    <row r="59">
      <c r="A59" s="56" t="s">
        <v>945</v>
      </c>
      <c r="M59" s="56" t="s">
        <v>911</v>
      </c>
    </row>
    <row r="60">
      <c r="A60" s="56" t="s">
        <v>946</v>
      </c>
      <c r="M60" s="56" t="s">
        <v>947</v>
      </c>
    </row>
    <row r="61">
      <c r="A61" s="56" t="s">
        <v>948</v>
      </c>
      <c r="M61" s="56" t="s">
        <v>915</v>
      </c>
    </row>
    <row r="62">
      <c r="A62" s="56" t="s">
        <v>949</v>
      </c>
      <c r="M62" s="56" t="s">
        <v>950</v>
      </c>
    </row>
    <row r="63">
      <c r="A63" s="56" t="s">
        <v>951</v>
      </c>
      <c r="M63" s="56" t="s">
        <v>919</v>
      </c>
    </row>
    <row r="64">
      <c r="A64" s="56" t="s">
        <v>952</v>
      </c>
    </row>
    <row r="65">
      <c r="A65" s="56" t="s">
        <v>953</v>
      </c>
      <c r="M65" s="56" t="s">
        <v>954</v>
      </c>
    </row>
    <row r="66">
      <c r="A66" s="56" t="s">
        <v>932</v>
      </c>
      <c r="M66" s="56" t="s">
        <v>955</v>
      </c>
    </row>
    <row r="67">
      <c r="M67" s="56" t="s">
        <v>956</v>
      </c>
    </row>
    <row r="68">
      <c r="A68" s="56" t="s">
        <v>957</v>
      </c>
      <c r="M68" s="56" t="s">
        <v>958</v>
      </c>
    </row>
    <row r="69">
      <c r="A69" s="56" t="s">
        <v>959</v>
      </c>
      <c r="M69" s="56" t="s">
        <v>960</v>
      </c>
    </row>
    <row r="70">
      <c r="A70" s="56" t="s">
        <v>932</v>
      </c>
      <c r="M70" s="56" t="s">
        <v>961</v>
      </c>
    </row>
    <row r="71">
      <c r="M71" s="56" t="s">
        <v>962</v>
      </c>
    </row>
    <row r="72">
      <c r="A72" s="56" t="s">
        <v>963</v>
      </c>
      <c r="M72" s="56" t="s">
        <v>964</v>
      </c>
    </row>
    <row r="73">
      <c r="A73" s="56" t="s">
        <v>965</v>
      </c>
    </row>
    <row r="74">
      <c r="A74" s="56" t="s">
        <v>966</v>
      </c>
      <c r="M74" s="56" t="s">
        <v>967</v>
      </c>
    </row>
    <row r="75">
      <c r="A75" s="56" t="s">
        <v>932</v>
      </c>
      <c r="M75" s="56" t="s">
        <v>968</v>
      </c>
    </row>
    <row r="76">
      <c r="M76" s="56" t="s">
        <v>932</v>
      </c>
    </row>
    <row r="77">
      <c r="A77" s="56" t="s">
        <v>969</v>
      </c>
    </row>
    <row r="78">
      <c r="A78" s="56" t="s">
        <v>970</v>
      </c>
      <c r="M78" s="56" t="s">
        <v>971</v>
      </c>
    </row>
    <row r="79">
      <c r="A79" s="56" t="s">
        <v>972</v>
      </c>
      <c r="M79" s="56" t="s">
        <v>973</v>
      </c>
    </row>
    <row r="80">
      <c r="A80" s="56" t="s">
        <v>974</v>
      </c>
      <c r="M80" s="56" t="s">
        <v>975</v>
      </c>
    </row>
    <row r="81">
      <c r="A81" s="56" t="s">
        <v>932</v>
      </c>
      <c r="M81" s="56" t="s">
        <v>976</v>
      </c>
    </row>
    <row r="82">
      <c r="M82" s="56" t="s">
        <v>932</v>
      </c>
    </row>
    <row r="83">
      <c r="A83" s="56" t="s">
        <v>977</v>
      </c>
      <c r="M83" s="56" t="s">
        <v>978</v>
      </c>
    </row>
    <row r="84">
      <c r="A84" s="56" t="s">
        <v>979</v>
      </c>
    </row>
    <row r="85">
      <c r="A85" s="56" t="s">
        <v>972</v>
      </c>
      <c r="M85" s="56" t="s">
        <v>980</v>
      </c>
    </row>
    <row r="86">
      <c r="A86" s="56" t="s">
        <v>981</v>
      </c>
      <c r="M86" s="56" t="s">
        <v>982</v>
      </c>
    </row>
    <row r="87">
      <c r="A87" s="56" t="s">
        <v>983</v>
      </c>
      <c r="M87" s="56" t="s">
        <v>984</v>
      </c>
    </row>
    <row r="88">
      <c r="A88" s="56" t="s">
        <v>985</v>
      </c>
      <c r="M88" s="56" t="s">
        <v>986</v>
      </c>
    </row>
    <row r="89">
      <c r="A89" s="56" t="s">
        <v>932</v>
      </c>
      <c r="M89" s="56" t="s">
        <v>932</v>
      </c>
    </row>
    <row r="91">
      <c r="A91" s="56" t="s">
        <v>987</v>
      </c>
      <c r="M91" s="56" t="s">
        <v>988</v>
      </c>
    </row>
    <row r="92">
      <c r="A92" s="56" t="s">
        <v>979</v>
      </c>
    </row>
    <row r="93">
      <c r="A93" s="56" t="s">
        <v>985</v>
      </c>
      <c r="M93" s="56" t="s">
        <v>989</v>
      </c>
    </row>
    <row r="94">
      <c r="A94" s="56" t="s">
        <v>990</v>
      </c>
      <c r="M94" s="56" t="s">
        <v>945</v>
      </c>
    </row>
    <row r="95">
      <c r="A95" s="56" t="s">
        <v>991</v>
      </c>
      <c r="M95" s="56" t="s">
        <v>992</v>
      </c>
    </row>
    <row r="96">
      <c r="A96" s="56" t="s">
        <v>993</v>
      </c>
      <c r="M96" s="56" t="s">
        <v>948</v>
      </c>
    </row>
    <row r="97">
      <c r="A97" s="56" t="s">
        <v>994</v>
      </c>
      <c r="M97" s="56" t="s">
        <v>949</v>
      </c>
    </row>
    <row r="98">
      <c r="A98" s="56" t="s">
        <v>995</v>
      </c>
      <c r="M98" s="56" t="s">
        <v>951</v>
      </c>
    </row>
    <row r="99">
      <c r="A99" s="56" t="s">
        <v>932</v>
      </c>
      <c r="M99" s="56" t="s">
        <v>996</v>
      </c>
    </row>
    <row r="100">
      <c r="M100" s="56" t="s">
        <v>953</v>
      </c>
    </row>
    <row r="101">
      <c r="A101" s="56" t="s">
        <v>997</v>
      </c>
      <c r="M101" s="56" t="s">
        <v>998</v>
      </c>
    </row>
    <row r="102">
      <c r="A102" s="56" t="s">
        <v>999</v>
      </c>
      <c r="M102" s="56" t="s">
        <v>932</v>
      </c>
    </row>
    <row r="103">
      <c r="A103" s="56" t="s">
        <v>1000</v>
      </c>
    </row>
    <row r="104">
      <c r="A104" s="56" t="s">
        <v>1001</v>
      </c>
      <c r="M104" s="56" t="s">
        <v>1002</v>
      </c>
    </row>
    <row r="105">
      <c r="A105" s="56" t="s">
        <v>972</v>
      </c>
      <c r="M105" s="56" t="s">
        <v>1003</v>
      </c>
    </row>
    <row r="106">
      <c r="A106" s="56" t="s">
        <v>981</v>
      </c>
      <c r="M106" s="56" t="s">
        <v>1004</v>
      </c>
    </row>
    <row r="107">
      <c r="A107" s="56" t="s">
        <v>1005</v>
      </c>
    </row>
    <row r="108">
      <c r="A108" s="56" t="s">
        <v>1006</v>
      </c>
      <c r="M108" s="56" t="s">
        <v>1007</v>
      </c>
    </row>
    <row r="109">
      <c r="A109" s="56" t="s">
        <v>1008</v>
      </c>
      <c r="M109" s="56" t="s">
        <v>1009</v>
      </c>
    </row>
    <row r="110">
      <c r="A110" s="56" t="s">
        <v>932</v>
      </c>
      <c r="M110" s="56" t="s">
        <v>1010</v>
      </c>
    </row>
    <row r="112">
      <c r="A112" s="56" t="s">
        <v>1011</v>
      </c>
      <c r="M112" s="56" t="s">
        <v>987</v>
      </c>
    </row>
    <row r="113">
      <c r="A113" s="56" t="s">
        <v>1012</v>
      </c>
      <c r="M113" s="56" t="s">
        <v>979</v>
      </c>
    </row>
    <row r="114">
      <c r="A114" s="56" t="s">
        <v>1013</v>
      </c>
      <c r="M114" s="56" t="s">
        <v>990</v>
      </c>
    </row>
    <row r="115">
      <c r="A115" s="56" t="s">
        <v>932</v>
      </c>
      <c r="M115" s="56" t="s">
        <v>1014</v>
      </c>
    </row>
    <row r="116">
      <c r="M116" s="56" t="s">
        <v>995</v>
      </c>
    </row>
    <row r="117">
      <c r="A117" s="56" t="s">
        <v>1015</v>
      </c>
      <c r="M117" s="56" t="s">
        <v>932</v>
      </c>
    </row>
    <row r="118">
      <c r="A118" s="56" t="s">
        <v>1016</v>
      </c>
    </row>
    <row r="119">
      <c r="A119" s="56" t="s">
        <v>1017</v>
      </c>
      <c r="M119" s="56" t="s">
        <v>997</v>
      </c>
    </row>
    <row r="120">
      <c r="A120" s="56" t="s">
        <v>966</v>
      </c>
      <c r="M120" s="56" t="s">
        <v>999</v>
      </c>
    </row>
    <row r="121">
      <c r="A121" s="56" t="s">
        <v>1018</v>
      </c>
      <c r="M121" s="56" t="s">
        <v>1000</v>
      </c>
    </row>
    <row r="122">
      <c r="A122" s="56" t="s">
        <v>1019</v>
      </c>
      <c r="M122" s="56" t="s">
        <v>1001</v>
      </c>
    </row>
    <row r="123">
      <c r="A123" s="56" t="s">
        <v>972</v>
      </c>
      <c r="M123" s="56" t="s">
        <v>972</v>
      </c>
    </row>
    <row r="124">
      <c r="A124" s="56" t="s">
        <v>1020</v>
      </c>
      <c r="M124" s="56" t="s">
        <v>981</v>
      </c>
    </row>
    <row r="125">
      <c r="A125" s="56" t="s">
        <v>1021</v>
      </c>
      <c r="M125" s="56" t="s">
        <v>1005</v>
      </c>
    </row>
    <row r="126">
      <c r="A126" s="56" t="s">
        <v>932</v>
      </c>
      <c r="M126" s="56" t="s">
        <v>1022</v>
      </c>
    </row>
    <row r="127">
      <c r="M127" s="56" t="s">
        <v>1023</v>
      </c>
    </row>
    <row r="128">
      <c r="A128" s="56" t="s">
        <v>1024</v>
      </c>
      <c r="M128" s="56" t="s">
        <v>1025</v>
      </c>
    </row>
    <row r="129">
      <c r="A129" s="56" t="s">
        <v>1026</v>
      </c>
      <c r="M129" s="56" t="s">
        <v>932</v>
      </c>
    </row>
    <row r="130">
      <c r="A130" s="56" t="s">
        <v>1027</v>
      </c>
    </row>
    <row r="131">
      <c r="A131" s="56" t="s">
        <v>1028</v>
      </c>
      <c r="M131" s="56" t="s">
        <v>1011</v>
      </c>
    </row>
    <row r="132">
      <c r="A132" s="56" t="s">
        <v>1029</v>
      </c>
      <c r="M132" s="56" t="s">
        <v>1030</v>
      </c>
    </row>
    <row r="133">
      <c r="A133" s="56" t="s">
        <v>1031</v>
      </c>
      <c r="M133" s="56" t="s">
        <v>932</v>
      </c>
    </row>
    <row r="134">
      <c r="A134" s="56" t="s">
        <v>1005</v>
      </c>
    </row>
    <row r="135">
      <c r="A135" s="56" t="s">
        <v>932</v>
      </c>
      <c r="M135" s="56" t="s">
        <v>1015</v>
      </c>
    </row>
    <row r="136">
      <c r="M136" s="56" t="s">
        <v>1032</v>
      </c>
    </row>
    <row r="137">
      <c r="A137" s="56" t="s">
        <v>1033</v>
      </c>
      <c r="M137" s="56" t="s">
        <v>1034</v>
      </c>
    </row>
    <row r="138">
      <c r="A138" s="56" t="s">
        <v>1035</v>
      </c>
      <c r="M138" s="56" t="s">
        <v>1036</v>
      </c>
    </row>
    <row r="139">
      <c r="A139" s="56" t="s">
        <v>1037</v>
      </c>
      <c r="M139" s="56" t="s">
        <v>1018</v>
      </c>
    </row>
    <row r="140">
      <c r="A140" s="56" t="s">
        <v>1038</v>
      </c>
      <c r="M140" s="56" t="s">
        <v>1039</v>
      </c>
    </row>
    <row r="141">
      <c r="A141" s="56" t="s">
        <v>1040</v>
      </c>
      <c r="M141" s="56" t="s">
        <v>972</v>
      </c>
    </row>
    <row r="142">
      <c r="A142" s="56" t="s">
        <v>1041</v>
      </c>
      <c r="M142" s="56" t="s">
        <v>1020</v>
      </c>
    </row>
    <row r="143">
      <c r="A143" s="56" t="s">
        <v>1042</v>
      </c>
      <c r="M143" s="56" t="s">
        <v>1043</v>
      </c>
    </row>
    <row r="144">
      <c r="A144" s="56" t="s">
        <v>1044</v>
      </c>
      <c r="M144" s="56" t="s">
        <v>932</v>
      </c>
    </row>
    <row r="145">
      <c r="A145" s="56" t="s">
        <v>932</v>
      </c>
    </row>
    <row r="146">
      <c r="M146" s="56" t="s">
        <v>1024</v>
      </c>
    </row>
    <row r="147">
      <c r="A147" s="56" t="s">
        <v>1045</v>
      </c>
      <c r="M147" s="56" t="s">
        <v>1026</v>
      </c>
    </row>
    <row r="148">
      <c r="A148" s="56" t="s">
        <v>979</v>
      </c>
      <c r="M148" s="56" t="s">
        <v>1046</v>
      </c>
    </row>
    <row r="149">
      <c r="A149" s="56" t="s">
        <v>1047</v>
      </c>
      <c r="M149" s="56" t="s">
        <v>1048</v>
      </c>
    </row>
    <row r="150">
      <c r="A150" s="56" t="s">
        <v>990</v>
      </c>
      <c r="M150" s="56" t="s">
        <v>1049</v>
      </c>
    </row>
    <row r="151">
      <c r="A151" s="56" t="s">
        <v>991</v>
      </c>
      <c r="M151" s="56" t="s">
        <v>1031</v>
      </c>
    </row>
    <row r="152">
      <c r="A152" s="56" t="s">
        <v>932</v>
      </c>
      <c r="M152" s="56" t="s">
        <v>1050</v>
      </c>
    </row>
    <row r="153">
      <c r="M153" s="56" t="s">
        <v>932</v>
      </c>
    </row>
    <row r="154">
      <c r="A154" s="56" t="s">
        <v>1051</v>
      </c>
    </row>
    <row r="155">
      <c r="A155" s="56" t="s">
        <v>1035</v>
      </c>
      <c r="M155" s="56" t="s">
        <v>1033</v>
      </c>
    </row>
    <row r="156">
      <c r="A156" s="56" t="s">
        <v>1037</v>
      </c>
      <c r="M156" s="56" t="s">
        <v>1052</v>
      </c>
    </row>
    <row r="157">
      <c r="A157" s="56" t="s">
        <v>1038</v>
      </c>
      <c r="M157" s="56" t="s">
        <v>1037</v>
      </c>
    </row>
    <row r="158">
      <c r="A158" s="56" t="s">
        <v>1040</v>
      </c>
      <c r="M158" s="56" t="s">
        <v>1038</v>
      </c>
    </row>
    <row r="159">
      <c r="A159" s="56" t="s">
        <v>1053</v>
      </c>
      <c r="M159" s="56" t="s">
        <v>1054</v>
      </c>
    </row>
    <row r="160">
      <c r="A160" s="56" t="s">
        <v>1044</v>
      </c>
      <c r="M160" s="56" t="s">
        <v>1055</v>
      </c>
    </row>
    <row r="161">
      <c r="A161" s="56" t="s">
        <v>932</v>
      </c>
      <c r="M161" s="56" t="s">
        <v>1056</v>
      </c>
    </row>
    <row r="162">
      <c r="M162" s="56" t="s">
        <v>966</v>
      </c>
    </row>
    <row r="163">
      <c r="A163" s="56" t="s">
        <v>1057</v>
      </c>
      <c r="M163" s="56" t="s">
        <v>932</v>
      </c>
    </row>
    <row r="164">
      <c r="A164" s="56" t="s">
        <v>972</v>
      </c>
    </row>
    <row r="165">
      <c r="A165" s="56" t="s">
        <v>1020</v>
      </c>
      <c r="M165" s="56" t="s">
        <v>1045</v>
      </c>
    </row>
    <row r="166">
      <c r="A166" s="56" t="s">
        <v>1043</v>
      </c>
      <c r="M166" s="56" t="s">
        <v>979</v>
      </c>
    </row>
    <row r="167">
      <c r="A167" s="56" t="s">
        <v>1058</v>
      </c>
      <c r="M167" s="56" t="s">
        <v>1059</v>
      </c>
    </row>
    <row r="168">
      <c r="A168" s="56" t="s">
        <v>1060</v>
      </c>
      <c r="M168" s="56" t="s">
        <v>990</v>
      </c>
    </row>
    <row r="169">
      <c r="A169" s="56" t="s">
        <v>1061</v>
      </c>
      <c r="M169" s="56" t="s">
        <v>932</v>
      </c>
    </row>
    <row r="170">
      <c r="A170" s="56" t="s">
        <v>1062</v>
      </c>
    </row>
    <row r="171">
      <c r="A171" s="56" t="s">
        <v>1063</v>
      </c>
      <c r="M171" s="56" t="s">
        <v>1051</v>
      </c>
    </row>
    <row r="172">
      <c r="A172" s="56" t="s">
        <v>1064</v>
      </c>
      <c r="M172" s="56" t="s">
        <v>1052</v>
      </c>
    </row>
    <row r="173">
      <c r="A173" s="56" t="s">
        <v>1065</v>
      </c>
      <c r="M173" s="56" t="s">
        <v>1037</v>
      </c>
    </row>
    <row r="174">
      <c r="A174" s="56" t="s">
        <v>1066</v>
      </c>
      <c r="M174" s="56" t="s">
        <v>966</v>
      </c>
    </row>
    <row r="175">
      <c r="A175" s="56" t="s">
        <v>1067</v>
      </c>
      <c r="M175" s="56" t="s">
        <v>1038</v>
      </c>
    </row>
    <row r="176">
      <c r="A176" s="56" t="s">
        <v>932</v>
      </c>
      <c r="M176" s="56" t="s">
        <v>1068</v>
      </c>
    </row>
    <row r="177">
      <c r="M177" s="56" t="s">
        <v>1069</v>
      </c>
    </row>
    <row r="178">
      <c r="A178" s="56" t="s">
        <v>1070</v>
      </c>
      <c r="M178" s="56" t="s">
        <v>932</v>
      </c>
    </row>
    <row r="179">
      <c r="A179" s="56" t="s">
        <v>1071</v>
      </c>
    </row>
    <row r="180">
      <c r="A180" s="56" t="s">
        <v>1072</v>
      </c>
      <c r="M180" s="56" t="s">
        <v>1057</v>
      </c>
    </row>
    <row r="181">
      <c r="A181" s="56" t="s">
        <v>932</v>
      </c>
      <c r="M181" s="56" t="s">
        <v>972</v>
      </c>
    </row>
    <row r="182">
      <c r="M182" s="56" t="s">
        <v>1020</v>
      </c>
    </row>
    <row r="183">
      <c r="A183" s="56" t="s">
        <v>1073</v>
      </c>
      <c r="M183" s="56" t="s">
        <v>1074</v>
      </c>
    </row>
    <row r="184">
      <c r="A184" s="56" t="s">
        <v>1075</v>
      </c>
      <c r="M184" s="56" t="s">
        <v>1076</v>
      </c>
    </row>
    <row r="185">
      <c r="A185" s="56" t="s">
        <v>1077</v>
      </c>
      <c r="M185" s="56" t="s">
        <v>1060</v>
      </c>
    </row>
    <row r="186">
      <c r="A186" s="56" t="s">
        <v>932</v>
      </c>
      <c r="M186" s="56" t="s">
        <v>1061</v>
      </c>
    </row>
    <row r="187">
      <c r="M187" s="56" t="s">
        <v>1062</v>
      </c>
    </row>
    <row r="188">
      <c r="A188" s="56" t="s">
        <v>1078</v>
      </c>
      <c r="M188" s="56" t="s">
        <v>1079</v>
      </c>
    </row>
    <row r="189">
      <c r="A189" s="56" t="s">
        <v>1080</v>
      </c>
      <c r="M189" s="56" t="s">
        <v>1064</v>
      </c>
    </row>
    <row r="190">
      <c r="A190" s="56" t="s">
        <v>1081</v>
      </c>
      <c r="M190" s="56" t="s">
        <v>1082</v>
      </c>
    </row>
    <row r="191">
      <c r="A191" s="56" t="s">
        <v>1005</v>
      </c>
      <c r="M191" s="56" t="s">
        <v>1083</v>
      </c>
    </row>
    <row r="192">
      <c r="A192" s="56" t="s">
        <v>1084</v>
      </c>
      <c r="M192" s="56" t="s">
        <v>1067</v>
      </c>
    </row>
    <row r="193">
      <c r="A193" s="56" t="s">
        <v>1085</v>
      </c>
      <c r="M193" s="56" t="s">
        <v>932</v>
      </c>
    </row>
    <row r="194">
      <c r="A194" s="56" t="s">
        <v>932</v>
      </c>
    </row>
    <row r="195">
      <c r="M195" s="56" t="s">
        <v>1086</v>
      </c>
    </row>
    <row r="196">
      <c r="A196" s="56" t="s">
        <v>1087</v>
      </c>
      <c r="M196" s="56" t="s">
        <v>1088</v>
      </c>
    </row>
    <row r="197">
      <c r="A197" s="56" t="s">
        <v>1089</v>
      </c>
    </row>
    <row r="198">
      <c r="A198" s="56" t="s">
        <v>932</v>
      </c>
      <c r="M198" s="56" t="s">
        <v>1090</v>
      </c>
    </row>
    <row r="199">
      <c r="M199" s="56" t="s">
        <v>1091</v>
      </c>
    </row>
    <row r="200">
      <c r="A200" s="56" t="s">
        <v>1092</v>
      </c>
    </row>
    <row r="201">
      <c r="A201" s="56" t="s">
        <v>1093</v>
      </c>
      <c r="M201" s="56" t="s">
        <v>1094</v>
      </c>
    </row>
    <row r="202">
      <c r="A202" s="56" t="s">
        <v>1029</v>
      </c>
      <c r="M202" s="56" t="s">
        <v>1095</v>
      </c>
    </row>
    <row r="203">
      <c r="A203" s="56" t="s">
        <v>1096</v>
      </c>
      <c r="M203" s="56" t="s">
        <v>1071</v>
      </c>
    </row>
    <row r="204">
      <c r="A204" s="56" t="s">
        <v>1035</v>
      </c>
      <c r="M204" s="56" t="s">
        <v>1097</v>
      </c>
    </row>
    <row r="205">
      <c r="A205" s="56" t="s">
        <v>1036</v>
      </c>
      <c r="M205" s="56" t="s">
        <v>932</v>
      </c>
    </row>
    <row r="206">
      <c r="A206" s="56" t="s">
        <v>1098</v>
      </c>
    </row>
    <row r="207">
      <c r="A207" s="56" t="s">
        <v>1099</v>
      </c>
      <c r="M207" s="56" t="s">
        <v>1100</v>
      </c>
    </row>
    <row r="208">
      <c r="A208" s="56" t="s">
        <v>932</v>
      </c>
      <c r="M208" s="56" t="s">
        <v>1101</v>
      </c>
    </row>
    <row r="209">
      <c r="M209" s="56" t="s">
        <v>1102</v>
      </c>
    </row>
    <row r="210">
      <c r="A210" s="56" t="s">
        <v>1094</v>
      </c>
      <c r="M210" s="56" t="s">
        <v>1103</v>
      </c>
    </row>
    <row r="211">
      <c r="A211" s="56" t="s">
        <v>1104</v>
      </c>
      <c r="M211" s="56" t="s">
        <v>1105</v>
      </c>
    </row>
    <row r="212">
      <c r="A212" s="56" t="s">
        <v>1106</v>
      </c>
      <c r="M212" s="56" t="s">
        <v>1107</v>
      </c>
    </row>
    <row r="213">
      <c r="A213" s="56" t="s">
        <v>932</v>
      </c>
      <c r="M213" s="56" t="s">
        <v>1108</v>
      </c>
    </row>
    <row r="214">
      <c r="M214" s="56" t="s">
        <v>932</v>
      </c>
    </row>
    <row r="215">
      <c r="A215" s="56" t="s">
        <v>1109</v>
      </c>
      <c r="M215" s="56" t="s">
        <v>1110</v>
      </c>
    </row>
    <row r="216">
      <c r="A216" s="56" t="s">
        <v>972</v>
      </c>
      <c r="M216" s="56" t="s">
        <v>1111</v>
      </c>
    </row>
    <row r="217">
      <c r="A217" s="56" t="s">
        <v>1020</v>
      </c>
      <c r="M217" s="56" t="s">
        <v>1112</v>
      </c>
    </row>
    <row r="218">
      <c r="A218" s="56" t="s">
        <v>1021</v>
      </c>
    </row>
    <row r="219">
      <c r="A219" s="56" t="s">
        <v>932</v>
      </c>
      <c r="M219" s="56" t="s">
        <v>1113</v>
      </c>
    </row>
    <row r="220">
      <c r="M220" s="56" t="s">
        <v>1114</v>
      </c>
    </row>
    <row r="221">
      <c r="A221" s="56" t="s">
        <v>1101</v>
      </c>
      <c r="M221" s="56" t="s">
        <v>1115</v>
      </c>
    </row>
    <row r="222">
      <c r="A222" s="56" t="s">
        <v>1116</v>
      </c>
      <c r="M222" s="56" t="s">
        <v>1117</v>
      </c>
    </row>
    <row r="223">
      <c r="A223" s="56" t="s">
        <v>1118</v>
      </c>
      <c r="M223" s="56" t="s">
        <v>1119</v>
      </c>
    </row>
    <row r="224">
      <c r="A224" s="56" t="s">
        <v>1031</v>
      </c>
      <c r="M224" s="56" t="s">
        <v>1120</v>
      </c>
    </row>
    <row r="225">
      <c r="A225" s="56" t="s">
        <v>1029</v>
      </c>
      <c r="M225" s="56" t="s">
        <v>1121</v>
      </c>
    </row>
    <row r="226">
      <c r="A226" s="56" t="s">
        <v>972</v>
      </c>
      <c r="M226" s="56" t="s">
        <v>1122</v>
      </c>
    </row>
    <row r="227">
      <c r="A227" s="56" t="s">
        <v>1020</v>
      </c>
      <c r="M227" s="56" t="s">
        <v>1123</v>
      </c>
    </row>
    <row r="228">
      <c r="A228" s="56" t="s">
        <v>1124</v>
      </c>
      <c r="M228" s="56" t="s">
        <v>932</v>
      </c>
    </row>
    <row r="229">
      <c r="A229" s="56" t="s">
        <v>1052</v>
      </c>
    </row>
    <row r="230">
      <c r="A230" s="56" t="s">
        <v>1036</v>
      </c>
      <c r="M230" s="56" t="s">
        <v>1125</v>
      </c>
    </row>
    <row r="231">
      <c r="A231" s="56" t="s">
        <v>1096</v>
      </c>
      <c r="M231" s="56" t="s">
        <v>1126</v>
      </c>
    </row>
    <row r="232">
      <c r="A232" s="56" t="s">
        <v>1005</v>
      </c>
    </row>
    <row r="233">
      <c r="A233" s="56" t="s">
        <v>932</v>
      </c>
      <c r="M233" s="56" t="s">
        <v>1127</v>
      </c>
    </row>
    <row r="234">
      <c r="M234" s="56" t="s">
        <v>1128</v>
      </c>
    </row>
    <row r="235">
      <c r="A235" s="56" t="s">
        <v>1129</v>
      </c>
      <c r="M235" s="56" t="s">
        <v>1130</v>
      </c>
    </row>
    <row r="236">
      <c r="A236" s="56" t="s">
        <v>1052</v>
      </c>
      <c r="M236" s="56" t="s">
        <v>1131</v>
      </c>
    </row>
    <row r="237">
      <c r="A237" s="56" t="s">
        <v>1037</v>
      </c>
      <c r="M237" s="56" t="s">
        <v>1132</v>
      </c>
    </row>
    <row r="238">
      <c r="A238" s="56" t="s">
        <v>1133</v>
      </c>
      <c r="M238" s="56" t="s">
        <v>1134</v>
      </c>
    </row>
    <row r="239">
      <c r="A239" s="56" t="s">
        <v>1006</v>
      </c>
      <c r="M239" s="56" t="s">
        <v>1135</v>
      </c>
    </row>
    <row r="240">
      <c r="A240" s="56" t="s">
        <v>1136</v>
      </c>
      <c r="M240" s="56" t="s">
        <v>1137</v>
      </c>
    </row>
    <row r="241">
      <c r="A241" s="56" t="s">
        <v>1044</v>
      </c>
      <c r="M241" s="56" t="s">
        <v>1138</v>
      </c>
    </row>
    <row r="242">
      <c r="A242" s="56" t="s">
        <v>932</v>
      </c>
      <c r="M242" s="56" t="s">
        <v>932</v>
      </c>
    </row>
    <row r="243">
      <c r="M243" s="56" t="s">
        <v>1139</v>
      </c>
    </row>
    <row r="244">
      <c r="A244" s="56" t="s">
        <v>1140</v>
      </c>
      <c r="M244" s="56" t="s">
        <v>1141</v>
      </c>
    </row>
    <row r="245">
      <c r="A245" s="56" t="s">
        <v>1035</v>
      </c>
    </row>
    <row r="246">
      <c r="A246" s="56" t="s">
        <v>1037</v>
      </c>
      <c r="M246" s="56" t="s">
        <v>1142</v>
      </c>
    </row>
    <row r="247">
      <c r="A247" s="56" t="s">
        <v>1143</v>
      </c>
      <c r="M247" s="56" t="s">
        <v>1144</v>
      </c>
    </row>
    <row r="248">
      <c r="A248" s="56" t="s">
        <v>932</v>
      </c>
    </row>
    <row r="249">
      <c r="M249" s="56" t="s">
        <v>1145</v>
      </c>
    </row>
    <row r="250">
      <c r="A250" s="56" t="s">
        <v>1146</v>
      </c>
      <c r="M250" s="56" t="s">
        <v>1147</v>
      </c>
    </row>
    <row r="251">
      <c r="A251" s="56" t="s">
        <v>1148</v>
      </c>
    </row>
    <row r="252">
      <c r="A252" s="56" t="s">
        <v>1149</v>
      </c>
      <c r="M252" s="56" t="s">
        <v>1150</v>
      </c>
    </row>
    <row r="253">
      <c r="A253" s="56" t="s">
        <v>1031</v>
      </c>
      <c r="M253" s="56" t="s">
        <v>1151</v>
      </c>
    </row>
    <row r="254">
      <c r="A254" s="56" t="s">
        <v>1152</v>
      </c>
    </row>
    <row r="255">
      <c r="A255" s="56" t="s">
        <v>1153</v>
      </c>
      <c r="M255" s="56" t="s">
        <v>1154</v>
      </c>
    </row>
    <row r="256">
      <c r="A256" s="56" t="s">
        <v>1155</v>
      </c>
      <c r="M256" s="56" t="s">
        <v>1156</v>
      </c>
    </row>
    <row r="257">
      <c r="A257" s="56" t="s">
        <v>1157</v>
      </c>
    </row>
    <row r="258">
      <c r="A258" s="56" t="s">
        <v>932</v>
      </c>
      <c r="M258" s="56" t="s">
        <v>1158</v>
      </c>
    </row>
    <row r="259">
      <c r="M259" s="56" t="s">
        <v>1159</v>
      </c>
    </row>
    <row r="260">
      <c r="A260" s="56" t="s">
        <v>1160</v>
      </c>
    </row>
    <row r="261">
      <c r="M261" s="56" t="s">
        <v>1161</v>
      </c>
    </row>
    <row r="262">
      <c r="A262" s="56" t="s">
        <v>1162</v>
      </c>
      <c r="M262" s="56" t="s">
        <v>1163</v>
      </c>
    </row>
    <row r="263">
      <c r="A263" s="56" t="s">
        <v>1164</v>
      </c>
    </row>
    <row r="264">
      <c r="A264" s="56" t="s">
        <v>1089</v>
      </c>
      <c r="M264" s="56" t="s">
        <v>1165</v>
      </c>
    </row>
    <row r="265">
      <c r="A265" s="56" t="s">
        <v>932</v>
      </c>
      <c r="M265" s="56" t="s">
        <v>1166</v>
      </c>
    </row>
    <row r="267">
      <c r="A267" s="56" t="s">
        <v>1167</v>
      </c>
      <c r="M267" s="56" t="s">
        <v>1168</v>
      </c>
    </row>
    <row r="268">
      <c r="A268" s="56" t="s">
        <v>1169</v>
      </c>
      <c r="M268" s="56" t="s">
        <v>1170</v>
      </c>
    </row>
    <row r="269">
      <c r="A269" s="56" t="s">
        <v>932</v>
      </c>
      <c r="M269" s="56" t="s">
        <v>1171</v>
      </c>
    </row>
    <row r="270">
      <c r="A270" s="56" t="s">
        <v>932</v>
      </c>
      <c r="M270" s="56" t="s">
        <v>1172</v>
      </c>
    </row>
    <row r="271">
      <c r="M271" s="56" t="s">
        <v>1173</v>
      </c>
    </row>
    <row r="272">
      <c r="A272" s="56" t="s">
        <v>1113</v>
      </c>
      <c r="M272" s="56" t="s">
        <v>1174</v>
      </c>
    </row>
    <row r="273">
      <c r="A273" s="56" t="s">
        <v>1114</v>
      </c>
      <c r="M273" s="56" t="s">
        <v>1175</v>
      </c>
    </row>
    <row r="274">
      <c r="A274" s="56" t="s">
        <v>1171</v>
      </c>
      <c r="M274" s="56" t="s">
        <v>1082</v>
      </c>
    </row>
    <row r="275">
      <c r="A275" s="56" t="s">
        <v>1119</v>
      </c>
      <c r="M275" s="56" t="s">
        <v>932</v>
      </c>
    </row>
    <row r="276">
      <c r="A276" s="56" t="s">
        <v>1176</v>
      </c>
      <c r="M276" s="56" t="s">
        <v>1177</v>
      </c>
    </row>
    <row r="277">
      <c r="A277" s="56" t="s">
        <v>1178</v>
      </c>
    </row>
    <row r="278">
      <c r="A278" s="56" t="s">
        <v>972</v>
      </c>
      <c r="M278" s="56" t="s">
        <v>1179</v>
      </c>
    </row>
    <row r="279">
      <c r="A279" s="56" t="s">
        <v>1020</v>
      </c>
      <c r="M279" s="56" t="s">
        <v>1180</v>
      </c>
    </row>
    <row r="280">
      <c r="A280" s="56" t="s">
        <v>1181</v>
      </c>
      <c r="M280" s="56" t="s">
        <v>1119</v>
      </c>
    </row>
    <row r="281">
      <c r="A281" s="56" t="s">
        <v>1182</v>
      </c>
      <c r="M281" s="56" t="s">
        <v>1183</v>
      </c>
    </row>
    <row r="282">
      <c r="A282" s="56" t="s">
        <v>1005</v>
      </c>
      <c r="M282" s="56" t="s">
        <v>1184</v>
      </c>
    </row>
    <row r="283">
      <c r="A283" s="56" t="s">
        <v>932</v>
      </c>
      <c r="M283" s="56" t="s">
        <v>1185</v>
      </c>
    </row>
    <row r="284">
      <c r="M284" s="56" t="s">
        <v>932</v>
      </c>
    </row>
    <row r="285">
      <c r="A285" s="56" t="s">
        <v>1186</v>
      </c>
      <c r="M285" s="56" t="s">
        <v>1187</v>
      </c>
    </row>
    <row r="286">
      <c r="A286" s="56" t="s">
        <v>1016</v>
      </c>
      <c r="M286" s="56" t="s">
        <v>1188</v>
      </c>
    </row>
    <row r="287">
      <c r="A287" s="56" t="s">
        <v>1017</v>
      </c>
      <c r="M287" s="56" t="s">
        <v>1189</v>
      </c>
    </row>
    <row r="288">
      <c r="A288" s="56" t="s">
        <v>966</v>
      </c>
    </row>
    <row r="289">
      <c r="A289" s="56" t="s">
        <v>1019</v>
      </c>
      <c r="M289" s="56" t="s">
        <v>1190</v>
      </c>
    </row>
    <row r="290">
      <c r="A290" s="56" t="s">
        <v>932</v>
      </c>
      <c r="M290" s="56" t="s">
        <v>1191</v>
      </c>
    </row>
    <row r="291">
      <c r="M291" s="56" t="s">
        <v>1192</v>
      </c>
    </row>
    <row r="292">
      <c r="A292" s="56" t="s">
        <v>1193</v>
      </c>
      <c r="M292" s="56" t="s">
        <v>1194</v>
      </c>
    </row>
    <row r="293">
      <c r="A293" s="56" t="s">
        <v>1052</v>
      </c>
      <c r="M293" s="56" t="s">
        <v>1195</v>
      </c>
    </row>
    <row r="294">
      <c r="A294" s="56" t="s">
        <v>1196</v>
      </c>
      <c r="M294" s="56" t="s">
        <v>1197</v>
      </c>
    </row>
    <row r="295">
      <c r="A295" s="56" t="s">
        <v>1044</v>
      </c>
      <c r="M295" s="56" t="s">
        <v>932</v>
      </c>
    </row>
    <row r="296">
      <c r="A296" s="56" t="s">
        <v>1198</v>
      </c>
      <c r="M296" s="56" t="s">
        <v>1199</v>
      </c>
    </row>
    <row r="297">
      <c r="A297" s="56" t="s">
        <v>932</v>
      </c>
    </row>
    <row r="298">
      <c r="M298" s="56" t="s">
        <v>1200</v>
      </c>
    </row>
    <row r="299">
      <c r="A299" s="56" t="s">
        <v>1201</v>
      </c>
      <c r="M299" s="56" t="s">
        <v>1202</v>
      </c>
    </row>
    <row r="300">
      <c r="A300" s="56" t="s">
        <v>972</v>
      </c>
      <c r="M300" s="56" t="s">
        <v>932</v>
      </c>
    </row>
    <row r="301">
      <c r="A301" s="56" t="s">
        <v>1020</v>
      </c>
      <c r="M301" s="56" t="s">
        <v>1203</v>
      </c>
    </row>
    <row r="302">
      <c r="A302" s="56" t="s">
        <v>1021</v>
      </c>
      <c r="M302" s="56" t="s">
        <v>1204</v>
      </c>
    </row>
    <row r="303">
      <c r="A303" s="56" t="s">
        <v>932</v>
      </c>
      <c r="M303" s="56" t="s">
        <v>1205</v>
      </c>
    </row>
    <row r="304">
      <c r="M304" s="56" t="s">
        <v>1206</v>
      </c>
    </row>
    <row r="305">
      <c r="A305" s="56" t="s">
        <v>1127</v>
      </c>
    </row>
    <row r="306">
      <c r="A306" s="56" t="s">
        <v>1128</v>
      </c>
      <c r="M306" s="56" t="s">
        <v>1207</v>
      </c>
    </row>
    <row r="307">
      <c r="A307" s="56" t="s">
        <v>1032</v>
      </c>
      <c r="M307" s="56" t="s">
        <v>1208</v>
      </c>
    </row>
    <row r="308">
      <c r="A308" s="56" t="s">
        <v>1063</v>
      </c>
      <c r="M308" s="56" t="s">
        <v>1209</v>
      </c>
    </row>
    <row r="309">
      <c r="A309" s="56" t="s">
        <v>966</v>
      </c>
      <c r="M309" s="56" t="s">
        <v>1210</v>
      </c>
    </row>
    <row r="310">
      <c r="A310" s="56" t="s">
        <v>1211</v>
      </c>
      <c r="M310" s="56" t="s">
        <v>1212</v>
      </c>
    </row>
    <row r="311">
      <c r="A311" s="56" t="s">
        <v>1213</v>
      </c>
      <c r="M311" s="56" t="s">
        <v>1214</v>
      </c>
    </row>
    <row r="312">
      <c r="A312" s="56" t="s">
        <v>1060</v>
      </c>
    </row>
    <row r="313">
      <c r="A313" s="56" t="s">
        <v>1061</v>
      </c>
      <c r="M313" s="56" t="s">
        <v>1215</v>
      </c>
    </row>
    <row r="314">
      <c r="A314" s="56" t="s">
        <v>1216</v>
      </c>
      <c r="M314" s="56" t="s">
        <v>1217</v>
      </c>
    </row>
    <row r="315">
      <c r="A315" s="56" t="s">
        <v>1020</v>
      </c>
      <c r="M315" s="56" t="s">
        <v>1218</v>
      </c>
    </row>
    <row r="316">
      <c r="A316" s="56" t="s">
        <v>1219</v>
      </c>
    </row>
    <row r="317">
      <c r="A317" s="56" t="s">
        <v>1065</v>
      </c>
      <c r="M317" s="56" t="s">
        <v>1220</v>
      </c>
    </row>
    <row r="318">
      <c r="A318" s="56" t="s">
        <v>1133</v>
      </c>
      <c r="M318" s="56" t="s">
        <v>1221</v>
      </c>
    </row>
    <row r="319">
      <c r="A319" s="56" t="s">
        <v>932</v>
      </c>
    </row>
    <row r="320">
      <c r="M320" s="56" t="s">
        <v>1222</v>
      </c>
    </row>
    <row r="321">
      <c r="A321" s="56" t="s">
        <v>1223</v>
      </c>
      <c r="M321" s="56" t="s">
        <v>1224</v>
      </c>
    </row>
    <row r="322">
      <c r="A322" s="56" t="s">
        <v>1225</v>
      </c>
      <c r="M322" s="56" t="s">
        <v>1226</v>
      </c>
    </row>
    <row r="323">
      <c r="A323" s="56" t="s">
        <v>1227</v>
      </c>
    </row>
    <row r="324">
      <c r="A324" s="56" t="s">
        <v>1228</v>
      </c>
      <c r="M324" s="56" t="s">
        <v>1229</v>
      </c>
    </row>
    <row r="325">
      <c r="A325" s="56" t="s">
        <v>932</v>
      </c>
      <c r="M325" s="56" t="s">
        <v>1230</v>
      </c>
    </row>
    <row r="326">
      <c r="M326" s="56" t="s">
        <v>1231</v>
      </c>
    </row>
    <row r="327">
      <c r="A327" s="56" t="s">
        <v>1232</v>
      </c>
      <c r="M327" s="56" t="s">
        <v>1233</v>
      </c>
    </row>
    <row r="328">
      <c r="A328" s="56" t="s">
        <v>1234</v>
      </c>
      <c r="M328" s="56" t="s">
        <v>1235</v>
      </c>
    </row>
    <row r="329">
      <c r="A329" s="56" t="s">
        <v>1018</v>
      </c>
      <c r="M329" s="56" t="s">
        <v>932</v>
      </c>
    </row>
    <row r="330">
      <c r="A330" s="56" t="s">
        <v>1236</v>
      </c>
      <c r="M330" s="56" t="s">
        <v>1237</v>
      </c>
    </row>
    <row r="331">
      <c r="A331" s="56" t="s">
        <v>932</v>
      </c>
      <c r="M331" s="56" t="s">
        <v>1238</v>
      </c>
    </row>
    <row r="332">
      <c r="M332" s="56" t="s">
        <v>932</v>
      </c>
    </row>
    <row r="333">
      <c r="A333" s="56" t="s">
        <v>1239</v>
      </c>
      <c r="M333" s="56" t="s">
        <v>1240</v>
      </c>
    </row>
    <row r="334">
      <c r="A334" s="56" t="s">
        <v>1241</v>
      </c>
      <c r="M334" s="56" t="s">
        <v>1242</v>
      </c>
    </row>
    <row r="335">
      <c r="A335" s="56" t="s">
        <v>932</v>
      </c>
    </row>
    <row r="336">
      <c r="M336" s="56" t="s">
        <v>1243</v>
      </c>
    </row>
    <row r="337">
      <c r="A337" s="56" t="s">
        <v>1244</v>
      </c>
    </row>
    <row r="338">
      <c r="A338" s="56" t="s">
        <v>1245</v>
      </c>
      <c r="M338" s="56" t="s">
        <v>1246</v>
      </c>
    </row>
    <row r="339">
      <c r="A339" s="56" t="s">
        <v>1247</v>
      </c>
      <c r="M339" s="56" t="s">
        <v>1248</v>
      </c>
    </row>
    <row r="340">
      <c r="A340" s="56" t="s">
        <v>932</v>
      </c>
      <c r="M340" s="56" t="s">
        <v>1249</v>
      </c>
    </row>
    <row r="341">
      <c r="M341" s="56" t="s">
        <v>1250</v>
      </c>
    </row>
    <row r="342">
      <c r="A342" s="56" t="s">
        <v>1251</v>
      </c>
      <c r="M342" s="56" t="s">
        <v>1252</v>
      </c>
    </row>
    <row r="343">
      <c r="A343" s="56" t="s">
        <v>1253</v>
      </c>
      <c r="M343" s="56" t="s">
        <v>1254</v>
      </c>
    </row>
    <row r="344">
      <c r="A344" s="56" t="s">
        <v>1018</v>
      </c>
      <c r="M344" s="56" t="s">
        <v>1082</v>
      </c>
    </row>
    <row r="345">
      <c r="A345" s="56" t="s">
        <v>1255</v>
      </c>
      <c r="M345" s="56" t="s">
        <v>932</v>
      </c>
    </row>
    <row r="346">
      <c r="A346" s="56" t="s">
        <v>932</v>
      </c>
      <c r="M346" s="56" t="s">
        <v>1256</v>
      </c>
    </row>
    <row r="348">
      <c r="A348" s="56" t="s">
        <v>1257</v>
      </c>
      <c r="M348" s="56" t="s">
        <v>1258</v>
      </c>
    </row>
    <row r="349">
      <c r="A349" s="56" t="s">
        <v>1259</v>
      </c>
      <c r="M349" s="56" t="s">
        <v>1260</v>
      </c>
    </row>
    <row r="350">
      <c r="A350" s="56" t="s">
        <v>932</v>
      </c>
      <c r="M350" s="56" t="s">
        <v>1261</v>
      </c>
    </row>
    <row r="351">
      <c r="M351" s="56" t="s">
        <v>1262</v>
      </c>
    </row>
    <row r="352">
      <c r="A352" s="56" t="s">
        <v>1263</v>
      </c>
      <c r="M352" s="56" t="s">
        <v>1264</v>
      </c>
    </row>
    <row r="353">
      <c r="A353" s="56" t="s">
        <v>1245</v>
      </c>
      <c r="M353" s="56" t="s">
        <v>932</v>
      </c>
    </row>
    <row r="354">
      <c r="A354" s="56" t="s">
        <v>1247</v>
      </c>
      <c r="M354" s="56" t="s">
        <v>1265</v>
      </c>
    </row>
    <row r="355">
      <c r="A355" s="56" t="s">
        <v>932</v>
      </c>
      <c r="M355" s="56" t="s">
        <v>1266</v>
      </c>
    </row>
    <row r="357">
      <c r="A357" s="56" t="s">
        <v>1267</v>
      </c>
      <c r="M357" s="56" t="s">
        <v>1268</v>
      </c>
    </row>
    <row r="358">
      <c r="A358" s="56" t="s">
        <v>1171</v>
      </c>
      <c r="M358" s="56" t="s">
        <v>1269</v>
      </c>
    </row>
    <row r="359">
      <c r="A359" s="56" t="s">
        <v>951</v>
      </c>
      <c r="M359" s="56" t="s">
        <v>1270</v>
      </c>
    </row>
    <row r="360">
      <c r="A360" s="56" t="s">
        <v>1271</v>
      </c>
      <c r="M360" s="56" t="s">
        <v>1272</v>
      </c>
    </row>
    <row r="361">
      <c r="A361" s="56" t="s">
        <v>932</v>
      </c>
      <c r="M361" s="56" t="s">
        <v>932</v>
      </c>
    </row>
    <row r="362">
      <c r="M362" s="56" t="s">
        <v>1273</v>
      </c>
    </row>
    <row r="363">
      <c r="A363" s="56" t="s">
        <v>1274</v>
      </c>
    </row>
    <row r="364">
      <c r="A364" s="56" t="s">
        <v>1275</v>
      </c>
      <c r="M364" s="56" t="s">
        <v>1276</v>
      </c>
    </row>
    <row r="365">
      <c r="A365" s="56" t="s">
        <v>932</v>
      </c>
      <c r="M365" s="56" t="s">
        <v>1277</v>
      </c>
    </row>
    <row r="366">
      <c r="M366" s="56" t="s">
        <v>1278</v>
      </c>
    </row>
    <row r="367">
      <c r="A367" s="56" t="s">
        <v>1279</v>
      </c>
      <c r="M367" s="56" t="s">
        <v>932</v>
      </c>
    </row>
    <row r="368">
      <c r="A368" s="56" t="s">
        <v>1280</v>
      </c>
      <c r="M368" s="56" t="s">
        <v>1281</v>
      </c>
    </row>
    <row r="369">
      <c r="A369" s="56" t="s">
        <v>1018</v>
      </c>
      <c r="M369" s="56" t="s">
        <v>1282</v>
      </c>
    </row>
    <row r="370">
      <c r="A370" s="56" t="s">
        <v>932</v>
      </c>
    </row>
    <row r="371">
      <c r="M371" s="56" t="s">
        <v>1283</v>
      </c>
    </row>
    <row r="372">
      <c r="A372" s="56" t="s">
        <v>1284</v>
      </c>
      <c r="M372" s="56" t="s">
        <v>1285</v>
      </c>
    </row>
    <row r="373">
      <c r="A373" s="56" t="s">
        <v>1259</v>
      </c>
      <c r="M373" s="56" t="s">
        <v>1286</v>
      </c>
    </row>
    <row r="374">
      <c r="A374" s="56" t="s">
        <v>932</v>
      </c>
      <c r="M374" s="56" t="s">
        <v>1287</v>
      </c>
    </row>
    <row r="375">
      <c r="M375" s="56" t="s">
        <v>1288</v>
      </c>
    </row>
    <row r="376">
      <c r="A376" s="56" t="s">
        <v>1289</v>
      </c>
      <c r="M376" s="56" t="s">
        <v>1290</v>
      </c>
    </row>
    <row r="377">
      <c r="A377" s="56" t="s">
        <v>1245</v>
      </c>
      <c r="M377" s="56" t="s">
        <v>1291</v>
      </c>
    </row>
    <row r="378">
      <c r="A378" s="56" t="s">
        <v>1247</v>
      </c>
      <c r="M378" s="56" t="s">
        <v>932</v>
      </c>
    </row>
    <row r="379">
      <c r="A379" s="56" t="s">
        <v>932</v>
      </c>
      <c r="M379" s="56" t="s">
        <v>1292</v>
      </c>
    </row>
    <row r="380">
      <c r="M380" s="56" t="s">
        <v>1293</v>
      </c>
    </row>
    <row r="381">
      <c r="A381" s="56" t="s">
        <v>1294</v>
      </c>
      <c r="M381" s="56" t="s">
        <v>1295</v>
      </c>
    </row>
    <row r="382">
      <c r="A382" s="56" t="s">
        <v>1171</v>
      </c>
      <c r="M382" s="56" t="s">
        <v>1296</v>
      </c>
    </row>
    <row r="383">
      <c r="A383" s="56" t="s">
        <v>1297</v>
      </c>
    </row>
    <row r="384">
      <c r="A384" s="56" t="s">
        <v>1298</v>
      </c>
      <c r="M384" s="56" t="s">
        <v>1299</v>
      </c>
    </row>
    <row r="385">
      <c r="A385" s="56" t="s">
        <v>932</v>
      </c>
      <c r="M385" s="56" t="s">
        <v>1300</v>
      </c>
    </row>
    <row r="386">
      <c r="M386" s="56" t="s">
        <v>1301</v>
      </c>
    </row>
    <row r="387">
      <c r="A387" s="56" t="s">
        <v>1302</v>
      </c>
      <c r="M387" s="56" t="s">
        <v>1303</v>
      </c>
    </row>
    <row r="388">
      <c r="A388" s="56" t="s">
        <v>1304</v>
      </c>
      <c r="M388" s="56" t="s">
        <v>1305</v>
      </c>
    </row>
    <row r="389">
      <c r="A389" s="56" t="s">
        <v>932</v>
      </c>
      <c r="M389" s="56" t="s">
        <v>932</v>
      </c>
    </row>
    <row r="390">
      <c r="M390" s="56" t="s">
        <v>1306</v>
      </c>
    </row>
    <row r="391">
      <c r="A391" s="56" t="s">
        <v>1307</v>
      </c>
      <c r="M391" s="56" t="s">
        <v>1308</v>
      </c>
    </row>
    <row r="392">
      <c r="A392" s="56" t="s">
        <v>1309</v>
      </c>
      <c r="M392" s="56" t="s">
        <v>1310</v>
      </c>
    </row>
    <row r="393">
      <c r="A393" s="56" t="s">
        <v>1196</v>
      </c>
      <c r="M393" s="56" t="s">
        <v>1311</v>
      </c>
    </row>
    <row r="394">
      <c r="A394" s="56" t="s">
        <v>1312</v>
      </c>
      <c r="M394" s="56" t="s">
        <v>1313</v>
      </c>
    </row>
    <row r="395">
      <c r="A395" s="56" t="s">
        <v>1314</v>
      </c>
      <c r="M395" s="56" t="s">
        <v>1315</v>
      </c>
    </row>
    <row r="396">
      <c r="A396" s="56" t="s">
        <v>932</v>
      </c>
      <c r="M396" s="56" t="s">
        <v>1316</v>
      </c>
    </row>
    <row r="397">
      <c r="M397" s="56" t="s">
        <v>1317</v>
      </c>
    </row>
    <row r="398">
      <c r="A398" s="56" t="s">
        <v>1318</v>
      </c>
    </row>
    <row r="399">
      <c r="A399" s="56" t="s">
        <v>951</v>
      </c>
      <c r="M399" s="56" t="s">
        <v>1319</v>
      </c>
    </row>
    <row r="400">
      <c r="A400" s="56" t="s">
        <v>1275</v>
      </c>
      <c r="M400" s="56" t="s">
        <v>1320</v>
      </c>
    </row>
    <row r="401">
      <c r="A401" s="56" t="s">
        <v>932</v>
      </c>
      <c r="M401" s="56" t="s">
        <v>1321</v>
      </c>
    </row>
    <row r="402">
      <c r="M402" s="56" t="s">
        <v>1322</v>
      </c>
    </row>
    <row r="403">
      <c r="A403" s="56" t="s">
        <v>1323</v>
      </c>
      <c r="M403" s="56" t="s">
        <v>1324</v>
      </c>
    </row>
    <row r="404">
      <c r="A404" s="56" t="s">
        <v>1325</v>
      </c>
      <c r="M404" s="56" t="s">
        <v>1138</v>
      </c>
    </row>
    <row r="405">
      <c r="A405" s="56" t="s">
        <v>1326</v>
      </c>
      <c r="M405" s="56" t="s">
        <v>932</v>
      </c>
    </row>
    <row r="406">
      <c r="A406" s="56" t="s">
        <v>932</v>
      </c>
      <c r="M406" s="56" t="s">
        <v>1327</v>
      </c>
    </row>
    <row r="407">
      <c r="M407" s="56" t="s">
        <v>1328</v>
      </c>
    </row>
    <row r="408">
      <c r="A408" s="56" t="s">
        <v>1168</v>
      </c>
    </row>
    <row r="409">
      <c r="A409" s="56" t="s">
        <v>1170</v>
      </c>
      <c r="M409" s="56" t="s">
        <v>1329</v>
      </c>
    </row>
    <row r="410">
      <c r="A410" s="56" t="s">
        <v>1171</v>
      </c>
      <c r="M410" s="56" t="s">
        <v>1330</v>
      </c>
    </row>
    <row r="411">
      <c r="A411" s="56" t="s">
        <v>1172</v>
      </c>
      <c r="M411" s="56" t="s">
        <v>1331</v>
      </c>
    </row>
    <row r="412">
      <c r="A412" s="56" t="s">
        <v>1173</v>
      </c>
      <c r="M412" s="56" t="s">
        <v>1332</v>
      </c>
    </row>
    <row r="413">
      <c r="A413" s="56" t="s">
        <v>1174</v>
      </c>
    </row>
    <row r="414">
      <c r="A414" s="56" t="s">
        <v>932</v>
      </c>
      <c r="M414" s="56" t="s">
        <v>1333</v>
      </c>
    </row>
    <row r="415">
      <c r="M415" s="56" t="s">
        <v>1334</v>
      </c>
    </row>
    <row r="416">
      <c r="A416" s="56" t="s">
        <v>1179</v>
      </c>
      <c r="M416" s="56" t="s">
        <v>1335</v>
      </c>
    </row>
    <row r="417">
      <c r="A417" s="56" t="s">
        <v>1336</v>
      </c>
    </row>
    <row r="418">
      <c r="A418" s="56" t="s">
        <v>1119</v>
      </c>
      <c r="M418" s="56" t="s">
        <v>1337</v>
      </c>
    </row>
    <row r="419">
      <c r="A419" s="56" t="s">
        <v>972</v>
      </c>
      <c r="M419" s="56" t="s">
        <v>1338</v>
      </c>
    </row>
    <row r="420">
      <c r="A420" s="56" t="s">
        <v>1020</v>
      </c>
      <c r="M420" s="56" t="s">
        <v>1339</v>
      </c>
    </row>
    <row r="421">
      <c r="A421" s="56" t="s">
        <v>1181</v>
      </c>
      <c r="M421" s="56" t="s">
        <v>1340</v>
      </c>
    </row>
    <row r="422">
      <c r="A422" s="56" t="s">
        <v>1074</v>
      </c>
      <c r="M422" s="56" t="s">
        <v>1341</v>
      </c>
    </row>
    <row r="423">
      <c r="A423" s="56" t="s">
        <v>1342</v>
      </c>
    </row>
    <row r="424">
      <c r="A424" s="56" t="s">
        <v>932</v>
      </c>
      <c r="M424" s="56" t="s">
        <v>1343</v>
      </c>
    </row>
    <row r="425">
      <c r="M425" s="56" t="s">
        <v>1344</v>
      </c>
    </row>
    <row r="426">
      <c r="A426" s="56" t="s">
        <v>1345</v>
      </c>
      <c r="M426" s="56" t="s">
        <v>1346</v>
      </c>
    </row>
    <row r="427">
      <c r="A427" s="56" t="s">
        <v>948</v>
      </c>
      <c r="M427" s="56" t="s">
        <v>1347</v>
      </c>
    </row>
    <row r="428">
      <c r="A428" s="56" t="s">
        <v>966</v>
      </c>
      <c r="M428" s="56" t="s">
        <v>1348</v>
      </c>
    </row>
    <row r="429">
      <c r="A429" s="56" t="s">
        <v>1019</v>
      </c>
    </row>
    <row r="430">
      <c r="A430" s="56" t="s">
        <v>932</v>
      </c>
      <c r="M430" s="56" t="s">
        <v>1349</v>
      </c>
    </row>
    <row r="431">
      <c r="M431" s="56" t="s">
        <v>1350</v>
      </c>
    </row>
    <row r="432">
      <c r="A432" s="56" t="s">
        <v>1351</v>
      </c>
      <c r="M432" s="56" t="s">
        <v>1352</v>
      </c>
    </row>
    <row r="433">
      <c r="A433" s="56" t="s">
        <v>1095</v>
      </c>
      <c r="M433" s="56" t="s">
        <v>1353</v>
      </c>
    </row>
    <row r="434">
      <c r="A434" s="56" t="s">
        <v>932</v>
      </c>
      <c r="M434" s="56" t="s">
        <v>932</v>
      </c>
    </row>
    <row r="435">
      <c r="M435" s="56" t="s">
        <v>1354</v>
      </c>
    </row>
    <row r="436">
      <c r="A436" s="56" t="s">
        <v>1355</v>
      </c>
      <c r="M436" s="56" t="s">
        <v>1356</v>
      </c>
    </row>
    <row r="437">
      <c r="A437" s="56" t="s">
        <v>938</v>
      </c>
      <c r="M437" s="56" t="s">
        <v>1357</v>
      </c>
    </row>
    <row r="438">
      <c r="A438" s="56" t="s">
        <v>932</v>
      </c>
    </row>
    <row r="439">
      <c r="M439" s="56" t="s">
        <v>1358</v>
      </c>
    </row>
    <row r="440">
      <c r="A440" s="56" t="s">
        <v>1190</v>
      </c>
      <c r="M440" s="56" t="s">
        <v>1359</v>
      </c>
    </row>
    <row r="441">
      <c r="A441" s="56" t="s">
        <v>1360</v>
      </c>
      <c r="M441" s="56" t="s">
        <v>1361</v>
      </c>
    </row>
    <row r="442">
      <c r="A442" s="56" t="s">
        <v>1362</v>
      </c>
      <c r="M442" s="56" t="s">
        <v>932</v>
      </c>
    </row>
    <row r="443">
      <c r="A443" s="56" t="s">
        <v>1363</v>
      </c>
      <c r="M443" s="56" t="s">
        <v>1364</v>
      </c>
    </row>
    <row r="444">
      <c r="A444" s="56" t="s">
        <v>1365</v>
      </c>
      <c r="M444" s="56" t="s">
        <v>1366</v>
      </c>
    </row>
    <row r="445">
      <c r="A445" s="56" t="s">
        <v>1367</v>
      </c>
      <c r="M445" s="56" t="s">
        <v>1368</v>
      </c>
    </row>
    <row r="446">
      <c r="A446" s="56" t="s">
        <v>932</v>
      </c>
      <c r="M446" s="56" t="s">
        <v>932</v>
      </c>
    </row>
    <row r="447">
      <c r="M447" s="56" t="s">
        <v>1369</v>
      </c>
    </row>
    <row r="448">
      <c r="A448" s="56" t="s">
        <v>1192</v>
      </c>
      <c r="M448" s="56" t="s">
        <v>1370</v>
      </c>
    </row>
    <row r="449">
      <c r="A449" s="56" t="s">
        <v>1171</v>
      </c>
    </row>
    <row r="450">
      <c r="A450" s="56" t="s">
        <v>1172</v>
      </c>
      <c r="M450" s="56" t="s">
        <v>1371</v>
      </c>
    </row>
    <row r="451">
      <c r="A451" s="56" t="s">
        <v>1173</v>
      </c>
      <c r="M451" s="56" t="s">
        <v>1372</v>
      </c>
    </row>
    <row r="452">
      <c r="A452" s="56" t="s">
        <v>1373</v>
      </c>
      <c r="M452" s="56" t="s">
        <v>1374</v>
      </c>
    </row>
    <row r="453">
      <c r="A453" s="56" t="s">
        <v>1375</v>
      </c>
      <c r="M453" s="56" t="s">
        <v>1376</v>
      </c>
    </row>
    <row r="454">
      <c r="A454" s="56" t="s">
        <v>1006</v>
      </c>
      <c r="M454" s="56" t="s">
        <v>1377</v>
      </c>
    </row>
    <row r="455">
      <c r="A455" s="56" t="s">
        <v>932</v>
      </c>
      <c r="M455" s="56" t="s">
        <v>1378</v>
      </c>
    </row>
    <row r="456">
      <c r="M456" s="56" t="s">
        <v>1379</v>
      </c>
    </row>
    <row r="457">
      <c r="A457" s="56" t="s">
        <v>1380</v>
      </c>
    </row>
    <row r="458">
      <c r="A458" s="56" t="s">
        <v>1026</v>
      </c>
      <c r="M458" s="56" t="s">
        <v>1381</v>
      </c>
    </row>
    <row r="459">
      <c r="A459" s="56" t="s">
        <v>1382</v>
      </c>
      <c r="M459" s="56" t="s">
        <v>1383</v>
      </c>
    </row>
    <row r="460">
      <c r="A460" s="56" t="s">
        <v>1384</v>
      </c>
      <c r="M460" s="56" t="s">
        <v>1385</v>
      </c>
    </row>
    <row r="461">
      <c r="A461" s="56" t="s">
        <v>1386</v>
      </c>
      <c r="M461" s="56" t="s">
        <v>1387</v>
      </c>
    </row>
    <row r="462">
      <c r="A462" s="56" t="s">
        <v>1388</v>
      </c>
      <c r="M462" s="56" t="s">
        <v>1389</v>
      </c>
    </row>
    <row r="463">
      <c r="A463" s="56" t="s">
        <v>1390</v>
      </c>
      <c r="M463" s="56" t="s">
        <v>932</v>
      </c>
    </row>
    <row r="464">
      <c r="A464" s="56" t="s">
        <v>932</v>
      </c>
      <c r="M464" s="56" t="s">
        <v>1391</v>
      </c>
    </row>
    <row r="465">
      <c r="M465" s="56" t="s">
        <v>1392</v>
      </c>
    </row>
    <row r="466">
      <c r="A466" s="56" t="s">
        <v>1393</v>
      </c>
      <c r="M466" s="56" t="s">
        <v>1394</v>
      </c>
    </row>
    <row r="467">
      <c r="A467" s="56" t="s">
        <v>1395</v>
      </c>
      <c r="M467" s="56" t="s">
        <v>1396</v>
      </c>
    </row>
    <row r="468">
      <c r="A468" s="56" t="s">
        <v>932</v>
      </c>
      <c r="M468" s="56" t="s">
        <v>1397</v>
      </c>
    </row>
    <row r="470">
      <c r="A470" s="56" t="s">
        <v>1398</v>
      </c>
      <c r="M470" s="56" t="s">
        <v>1399</v>
      </c>
    </row>
    <row r="471">
      <c r="A471" s="56" t="s">
        <v>1400</v>
      </c>
      <c r="M471" s="56" t="s">
        <v>1401</v>
      </c>
    </row>
    <row r="472">
      <c r="A472" s="56" t="s">
        <v>932</v>
      </c>
      <c r="M472" s="56" t="s">
        <v>1402</v>
      </c>
    </row>
    <row r="474">
      <c r="A474" s="56" t="s">
        <v>1403</v>
      </c>
      <c r="M474" s="56" t="s">
        <v>1404</v>
      </c>
    </row>
    <row r="475">
      <c r="A475" s="56" t="s">
        <v>1253</v>
      </c>
      <c r="M475" s="56" t="s">
        <v>1405</v>
      </c>
    </row>
    <row r="476">
      <c r="A476" s="56" t="s">
        <v>932</v>
      </c>
      <c r="M476" s="56" t="s">
        <v>1406</v>
      </c>
    </row>
    <row r="477">
      <c r="M477" s="56" t="s">
        <v>1407</v>
      </c>
    </row>
    <row r="478">
      <c r="A478" s="56" t="s">
        <v>1408</v>
      </c>
      <c r="M478" s="56" t="s">
        <v>1409</v>
      </c>
    </row>
    <row r="479">
      <c r="A479" s="56" t="s">
        <v>1410</v>
      </c>
      <c r="M479" s="56" t="s">
        <v>1411</v>
      </c>
    </row>
    <row r="480">
      <c r="A480" s="56" t="s">
        <v>932</v>
      </c>
      <c r="M480" s="56" t="s">
        <v>932</v>
      </c>
    </row>
    <row r="481">
      <c r="M481" s="56" t="s">
        <v>1412</v>
      </c>
    </row>
    <row r="482">
      <c r="A482" s="56" t="s">
        <v>1413</v>
      </c>
      <c r="M482" s="56" t="s">
        <v>1414</v>
      </c>
    </row>
    <row r="483">
      <c r="A483" s="56" t="s">
        <v>1035</v>
      </c>
      <c r="M483" s="56" t="s">
        <v>1415</v>
      </c>
    </row>
    <row r="484">
      <c r="A484" s="56" t="s">
        <v>966</v>
      </c>
      <c r="M484" s="56" t="s">
        <v>1416</v>
      </c>
    </row>
    <row r="485">
      <c r="A485" s="56" t="s">
        <v>1038</v>
      </c>
    </row>
    <row r="486">
      <c r="A486" s="56" t="s">
        <v>1040</v>
      </c>
      <c r="M486" s="56" t="s">
        <v>1417</v>
      </c>
    </row>
    <row r="487">
      <c r="A487" s="56" t="s">
        <v>1196</v>
      </c>
      <c r="M487" s="56" t="s">
        <v>1418</v>
      </c>
    </row>
    <row r="488">
      <c r="A488" s="56" t="s">
        <v>1044</v>
      </c>
    </row>
    <row r="489">
      <c r="A489" s="56" t="s">
        <v>1419</v>
      </c>
      <c r="M489" s="56" t="s">
        <v>1420</v>
      </c>
    </row>
    <row r="490">
      <c r="A490" s="56" t="s">
        <v>932</v>
      </c>
      <c r="M490" s="56" t="s">
        <v>1421</v>
      </c>
    </row>
    <row r="492">
      <c r="A492" s="56" t="s">
        <v>1422</v>
      </c>
      <c r="M492" s="56" t="s">
        <v>1423</v>
      </c>
    </row>
    <row r="493">
      <c r="A493" s="56" t="s">
        <v>1016</v>
      </c>
      <c r="M493" s="56" t="s">
        <v>1424</v>
      </c>
    </row>
    <row r="494">
      <c r="A494" s="56" t="s">
        <v>1425</v>
      </c>
      <c r="M494" s="56" t="s">
        <v>1426</v>
      </c>
    </row>
    <row r="495">
      <c r="A495" s="56" t="s">
        <v>966</v>
      </c>
      <c r="M495" s="56" t="s">
        <v>1427</v>
      </c>
    </row>
    <row r="496">
      <c r="A496" s="56" t="s">
        <v>1428</v>
      </c>
      <c r="M496" s="56" t="s">
        <v>1429</v>
      </c>
    </row>
    <row r="497">
      <c r="A497" s="56" t="s">
        <v>1430</v>
      </c>
      <c r="M497" s="56" t="s">
        <v>1431</v>
      </c>
    </row>
    <row r="498">
      <c r="A498" s="56" t="s">
        <v>1432</v>
      </c>
      <c r="M498" s="56" t="s">
        <v>1433</v>
      </c>
    </row>
    <row r="499">
      <c r="A499" s="56" t="s">
        <v>932</v>
      </c>
      <c r="M499" s="56" t="s">
        <v>1434</v>
      </c>
    </row>
    <row r="500">
      <c r="M500" s="56" t="s">
        <v>1435</v>
      </c>
    </row>
    <row r="501">
      <c r="A501" s="56" t="s">
        <v>1436</v>
      </c>
      <c r="M501" s="56" t="s">
        <v>1437</v>
      </c>
    </row>
    <row r="502">
      <c r="A502" s="56" t="s">
        <v>1438</v>
      </c>
      <c r="M502" s="56" t="s">
        <v>1439</v>
      </c>
    </row>
    <row r="503">
      <c r="A503" s="56" t="s">
        <v>932</v>
      </c>
      <c r="M503" s="56" t="s">
        <v>1431</v>
      </c>
    </row>
    <row r="504">
      <c r="M504" s="56" t="s">
        <v>1440</v>
      </c>
    </row>
    <row r="505">
      <c r="A505" s="56" t="s">
        <v>1441</v>
      </c>
      <c r="M505" s="56" t="s">
        <v>1442</v>
      </c>
    </row>
    <row r="506">
      <c r="A506" s="56" t="s">
        <v>1443</v>
      </c>
      <c r="M506" s="56" t="s">
        <v>1444</v>
      </c>
    </row>
    <row r="507">
      <c r="A507" s="56" t="s">
        <v>932</v>
      </c>
      <c r="M507" s="56" t="s">
        <v>1431</v>
      </c>
    </row>
    <row r="508">
      <c r="M508" s="56" t="s">
        <v>1445</v>
      </c>
    </row>
    <row r="509">
      <c r="A509" s="56" t="s">
        <v>1446</v>
      </c>
      <c r="M509" s="56" t="s">
        <v>1447</v>
      </c>
    </row>
    <row r="510">
      <c r="A510" s="56" t="s">
        <v>1448</v>
      </c>
      <c r="M510" s="56" t="s">
        <v>1449</v>
      </c>
    </row>
    <row r="511">
      <c r="A511" s="56" t="s">
        <v>932</v>
      </c>
      <c r="M511" s="56" t="s">
        <v>1450</v>
      </c>
    </row>
    <row r="512">
      <c r="M512" s="56" t="s">
        <v>1431</v>
      </c>
    </row>
    <row r="513">
      <c r="A513" s="56" t="s">
        <v>1451</v>
      </c>
      <c r="M513" s="56" t="s">
        <v>1452</v>
      </c>
    </row>
    <row r="514">
      <c r="A514" s="56" t="s">
        <v>1052</v>
      </c>
      <c r="M514" s="56" t="s">
        <v>1453</v>
      </c>
    </row>
    <row r="515">
      <c r="A515" s="56" t="s">
        <v>1196</v>
      </c>
      <c r="M515" s="56" t="s">
        <v>1454</v>
      </c>
    </row>
    <row r="516">
      <c r="A516" s="56" t="s">
        <v>932</v>
      </c>
      <c r="M516" s="56" t="s">
        <v>1431</v>
      </c>
    </row>
    <row r="517">
      <c r="M517" s="56" t="s">
        <v>1455</v>
      </c>
    </row>
    <row r="518">
      <c r="A518" s="56" t="s">
        <v>1456</v>
      </c>
      <c r="M518" s="56" t="s">
        <v>1457</v>
      </c>
    </row>
    <row r="519">
      <c r="A519" s="56" t="s">
        <v>1458</v>
      </c>
      <c r="M519" s="56" t="s">
        <v>1459</v>
      </c>
    </row>
    <row r="520">
      <c r="A520" s="56" t="s">
        <v>1362</v>
      </c>
      <c r="M520" s="56" t="s">
        <v>1431</v>
      </c>
    </row>
    <row r="521">
      <c r="A521" s="56" t="s">
        <v>1460</v>
      </c>
      <c r="M521" s="56" t="s">
        <v>1461</v>
      </c>
    </row>
    <row r="522">
      <c r="A522" s="56" t="s">
        <v>1182</v>
      </c>
      <c r="M522" s="56" t="s">
        <v>1462</v>
      </c>
    </row>
    <row r="523">
      <c r="A523" s="56" t="s">
        <v>1463</v>
      </c>
      <c r="M523" s="56" t="s">
        <v>1464</v>
      </c>
    </row>
    <row r="524">
      <c r="A524" s="56" t="s">
        <v>932</v>
      </c>
      <c r="M524" s="56" t="s">
        <v>1465</v>
      </c>
    </row>
    <row r="525">
      <c r="M525" s="56" t="s">
        <v>1431</v>
      </c>
    </row>
    <row r="526">
      <c r="A526" s="56" t="s">
        <v>1466</v>
      </c>
      <c r="M526" s="56" t="s">
        <v>1467</v>
      </c>
    </row>
    <row r="527">
      <c r="A527" s="56" t="s">
        <v>1458</v>
      </c>
      <c r="M527" s="56" t="s">
        <v>1468</v>
      </c>
    </row>
    <row r="528">
      <c r="A528" s="56" t="s">
        <v>1469</v>
      </c>
      <c r="M528" s="56" t="s">
        <v>1470</v>
      </c>
    </row>
    <row r="529">
      <c r="A529" s="56" t="s">
        <v>932</v>
      </c>
      <c r="M529" s="56" t="s">
        <v>1431</v>
      </c>
    </row>
    <row r="530">
      <c r="A530" s="56" t="s">
        <v>932</v>
      </c>
      <c r="M530" s="56" t="s">
        <v>1471</v>
      </c>
    </row>
    <row r="531">
      <c r="M531" s="56" t="s">
        <v>1472</v>
      </c>
    </row>
    <row r="532">
      <c r="A532" s="56" t="s">
        <v>1473</v>
      </c>
      <c r="M532" s="56" t="s">
        <v>1474</v>
      </c>
    </row>
    <row r="533">
      <c r="A533" s="56" t="s">
        <v>1475</v>
      </c>
      <c r="M533" s="56" t="s">
        <v>1476</v>
      </c>
    </row>
    <row r="534">
      <c r="A534" s="56" t="s">
        <v>1035</v>
      </c>
      <c r="M534" s="56" t="s">
        <v>1431</v>
      </c>
    </row>
    <row r="535">
      <c r="A535" s="56" t="s">
        <v>966</v>
      </c>
      <c r="M535" s="56" t="s">
        <v>1431</v>
      </c>
    </row>
    <row r="536">
      <c r="A536" s="56" t="s">
        <v>1038</v>
      </c>
      <c r="M536" s="56" t="s">
        <v>1477</v>
      </c>
    </row>
    <row r="537">
      <c r="A537" s="56" t="s">
        <v>1040</v>
      </c>
      <c r="M537" s="56" t="s">
        <v>1478</v>
      </c>
    </row>
    <row r="538">
      <c r="A538" s="56" t="s">
        <v>1196</v>
      </c>
      <c r="M538" s="56" t="s">
        <v>1479</v>
      </c>
    </row>
    <row r="539">
      <c r="A539" s="56" t="s">
        <v>1044</v>
      </c>
      <c r="M539" s="56" t="s">
        <v>1480</v>
      </c>
    </row>
    <row r="540">
      <c r="A540" s="56" t="s">
        <v>1481</v>
      </c>
      <c r="M540" s="56" t="s">
        <v>1482</v>
      </c>
    </row>
    <row r="541">
      <c r="A541" s="56" t="s">
        <v>932</v>
      </c>
      <c r="M541" s="56" t="s">
        <v>1483</v>
      </c>
    </row>
    <row r="542">
      <c r="M542" s="56" t="s">
        <v>1431</v>
      </c>
    </row>
    <row r="543">
      <c r="A543" s="56" t="s">
        <v>1484</v>
      </c>
      <c r="M543" s="56" t="s">
        <v>1431</v>
      </c>
    </row>
    <row r="544">
      <c r="A544" s="56" t="s">
        <v>1485</v>
      </c>
      <c r="M544" s="56" t="s">
        <v>1431</v>
      </c>
    </row>
    <row r="545">
      <c r="A545" s="56" t="s">
        <v>1362</v>
      </c>
      <c r="M545" s="56" t="s">
        <v>1486</v>
      </c>
    </row>
    <row r="546">
      <c r="A546" s="56" t="s">
        <v>1365</v>
      </c>
    </row>
    <row r="547">
      <c r="A547" s="56" t="s">
        <v>1487</v>
      </c>
      <c r="M547" s="56" t="s">
        <v>1488</v>
      </c>
    </row>
    <row r="548">
      <c r="A548" s="56" t="s">
        <v>932</v>
      </c>
      <c r="M548" s="56" t="s">
        <v>1489</v>
      </c>
    </row>
    <row r="550">
      <c r="A550" s="56" t="s">
        <v>1490</v>
      </c>
      <c r="M550" s="56" t="s">
        <v>1491</v>
      </c>
    </row>
    <row r="551">
      <c r="A551" s="56" t="s">
        <v>972</v>
      </c>
      <c r="M551" s="56" t="s">
        <v>1492</v>
      </c>
    </row>
    <row r="552">
      <c r="A552" s="56" t="s">
        <v>981</v>
      </c>
      <c r="M552" s="56" t="s">
        <v>1493</v>
      </c>
    </row>
    <row r="553">
      <c r="A553" s="56" t="s">
        <v>1494</v>
      </c>
      <c r="M553" s="56" t="s">
        <v>1495</v>
      </c>
    </row>
    <row r="554">
      <c r="A554" s="56" t="s">
        <v>932</v>
      </c>
      <c r="M554" s="56" t="s">
        <v>1496</v>
      </c>
    </row>
    <row r="555">
      <c r="M555" s="56" t="s">
        <v>1431</v>
      </c>
    </row>
    <row r="556">
      <c r="A556" s="56" t="s">
        <v>1497</v>
      </c>
      <c r="M556" s="56" t="s">
        <v>1431</v>
      </c>
    </row>
    <row r="557">
      <c r="A557" s="56" t="s">
        <v>1035</v>
      </c>
    </row>
    <row r="558">
      <c r="A558" s="56" t="s">
        <v>966</v>
      </c>
      <c r="M558" s="56" t="s">
        <v>1498</v>
      </c>
    </row>
    <row r="559">
      <c r="A559" s="56" t="s">
        <v>1038</v>
      </c>
      <c r="M559" s="56" t="s">
        <v>1499</v>
      </c>
    </row>
    <row r="560">
      <c r="A560" s="56" t="s">
        <v>1500</v>
      </c>
    </row>
    <row r="561">
      <c r="A561" s="56" t="s">
        <v>1196</v>
      </c>
      <c r="M561" s="56" t="s">
        <v>1501</v>
      </c>
    </row>
    <row r="562">
      <c r="A562" s="56" t="s">
        <v>1044</v>
      </c>
      <c r="M562" s="56" t="s">
        <v>1502</v>
      </c>
    </row>
    <row r="563">
      <c r="A563" s="56" t="s">
        <v>932</v>
      </c>
      <c r="M563" s="56" t="s">
        <v>1503</v>
      </c>
    </row>
    <row r="564">
      <c r="M564" s="56" t="s">
        <v>1504</v>
      </c>
    </row>
    <row r="565">
      <c r="A565" s="56" t="s">
        <v>1505</v>
      </c>
      <c r="M565" s="56" t="s">
        <v>1506</v>
      </c>
    </row>
    <row r="566">
      <c r="A566" s="56" t="s">
        <v>1297</v>
      </c>
      <c r="M566" s="56" t="s">
        <v>1507</v>
      </c>
    </row>
    <row r="567">
      <c r="A567" s="56" t="s">
        <v>932</v>
      </c>
      <c r="M567" s="56" t="s">
        <v>1508</v>
      </c>
    </row>
    <row r="568">
      <c r="M568" s="56" t="s">
        <v>1509</v>
      </c>
    </row>
    <row r="569">
      <c r="A569" s="56" t="s">
        <v>1510</v>
      </c>
      <c r="M569" s="56" t="s">
        <v>1431</v>
      </c>
    </row>
    <row r="570">
      <c r="A570" s="56" t="s">
        <v>1511</v>
      </c>
      <c r="M570" s="56" t="s">
        <v>1506</v>
      </c>
    </row>
    <row r="571">
      <c r="A571" s="56" t="s">
        <v>1512</v>
      </c>
      <c r="M571" s="56" t="s">
        <v>1513</v>
      </c>
    </row>
    <row r="572">
      <c r="A572" s="56" t="s">
        <v>1032</v>
      </c>
      <c r="M572" s="56" t="s">
        <v>1514</v>
      </c>
    </row>
    <row r="573">
      <c r="A573" s="56" t="s">
        <v>1063</v>
      </c>
      <c r="M573" s="56" t="s">
        <v>1431</v>
      </c>
    </row>
    <row r="574">
      <c r="A574" s="56" t="s">
        <v>1515</v>
      </c>
      <c r="M574" s="56" t="s">
        <v>1431</v>
      </c>
    </row>
    <row r="575">
      <c r="A575" s="56" t="s">
        <v>1171</v>
      </c>
      <c r="M575" s="56" t="s">
        <v>1504</v>
      </c>
    </row>
    <row r="576">
      <c r="A576" s="56" t="s">
        <v>1172</v>
      </c>
      <c r="M576" s="56" t="s">
        <v>1506</v>
      </c>
    </row>
    <row r="577">
      <c r="A577" s="56" t="s">
        <v>1060</v>
      </c>
      <c r="M577" s="56" t="s">
        <v>1516</v>
      </c>
    </row>
    <row r="578">
      <c r="A578" s="56" t="s">
        <v>951</v>
      </c>
      <c r="M578" s="56" t="s">
        <v>1517</v>
      </c>
    </row>
    <row r="579">
      <c r="A579" s="56" t="s">
        <v>1518</v>
      </c>
      <c r="M579" s="56" t="s">
        <v>1431</v>
      </c>
    </row>
    <row r="580">
      <c r="A580" s="56" t="s">
        <v>1519</v>
      </c>
      <c r="M580" s="56" t="s">
        <v>1506</v>
      </c>
    </row>
    <row r="581">
      <c r="A581" s="56" t="s">
        <v>932</v>
      </c>
      <c r="M581" s="56" t="s">
        <v>1520</v>
      </c>
    </row>
    <row r="582">
      <c r="M582" s="56" t="s">
        <v>1521</v>
      </c>
    </row>
    <row r="583">
      <c r="A583" s="56" t="s">
        <v>1522</v>
      </c>
      <c r="M583" s="56" t="s">
        <v>1431</v>
      </c>
    </row>
    <row r="584">
      <c r="A584" s="56" t="s">
        <v>1523</v>
      </c>
      <c r="M584" s="56" t="s">
        <v>1431</v>
      </c>
    </row>
    <row r="585">
      <c r="A585" s="56" t="s">
        <v>1524</v>
      </c>
      <c r="M585" s="56" t="s">
        <v>1431</v>
      </c>
    </row>
    <row r="586">
      <c r="A586" s="56" t="s">
        <v>1525</v>
      </c>
    </row>
    <row r="587">
      <c r="A587" s="56" t="s">
        <v>1526</v>
      </c>
      <c r="M587" s="56" t="s">
        <v>1527</v>
      </c>
    </row>
    <row r="588">
      <c r="A588" s="56" t="s">
        <v>1528</v>
      </c>
      <c r="M588" s="56" t="s">
        <v>1529</v>
      </c>
    </row>
    <row r="589">
      <c r="A589" s="56" t="s">
        <v>932</v>
      </c>
      <c r="M589" s="56" t="s">
        <v>1530</v>
      </c>
    </row>
    <row r="590">
      <c r="M590" s="56" t="s">
        <v>1531</v>
      </c>
    </row>
    <row r="591">
      <c r="A591" s="56" t="s">
        <v>1532</v>
      </c>
      <c r="M591" s="56" t="s">
        <v>1533</v>
      </c>
    </row>
    <row r="592">
      <c r="A592" s="56" t="s">
        <v>1534</v>
      </c>
      <c r="M592" s="56" t="s">
        <v>1431</v>
      </c>
    </row>
    <row r="593">
      <c r="A593" s="56" t="s">
        <v>1044</v>
      </c>
      <c r="M593" s="56" t="s">
        <v>1535</v>
      </c>
    </row>
    <row r="594">
      <c r="A594" s="56" t="s">
        <v>1063</v>
      </c>
      <c r="M594" s="56" t="s">
        <v>1536</v>
      </c>
    </row>
    <row r="595">
      <c r="A595" s="56" t="s">
        <v>932</v>
      </c>
      <c r="M595" s="56" t="s">
        <v>1537</v>
      </c>
    </row>
    <row r="596">
      <c r="M596" s="56" t="s">
        <v>1538</v>
      </c>
    </row>
    <row r="597">
      <c r="A597" s="56" t="s">
        <v>1512</v>
      </c>
      <c r="M597" s="56" t="s">
        <v>1539</v>
      </c>
    </row>
    <row r="598">
      <c r="A598" s="56" t="s">
        <v>1540</v>
      </c>
      <c r="M598" s="56" t="s">
        <v>1541</v>
      </c>
    </row>
    <row r="599">
      <c r="A599" s="56" t="s">
        <v>1542</v>
      </c>
      <c r="M599" s="56" t="s">
        <v>1431</v>
      </c>
    </row>
    <row r="600">
      <c r="A600" s="56" t="s">
        <v>932</v>
      </c>
      <c r="M600" s="56" t="s">
        <v>1543</v>
      </c>
    </row>
    <row r="601">
      <c r="M601" s="56" t="s">
        <v>1544</v>
      </c>
    </row>
    <row r="602">
      <c r="A602" s="56" t="s">
        <v>1545</v>
      </c>
      <c r="M602" s="56" t="s">
        <v>1537</v>
      </c>
    </row>
    <row r="603">
      <c r="A603" s="56" t="s">
        <v>1546</v>
      </c>
      <c r="M603" s="56" t="s">
        <v>1547</v>
      </c>
    </row>
    <row r="604">
      <c r="A604" s="56" t="s">
        <v>1548</v>
      </c>
      <c r="M604" s="56" t="s">
        <v>1549</v>
      </c>
    </row>
    <row r="605">
      <c r="A605" s="56" t="s">
        <v>1550</v>
      </c>
      <c r="M605" s="56" t="s">
        <v>1431</v>
      </c>
    </row>
    <row r="606">
      <c r="A606" s="56" t="s">
        <v>932</v>
      </c>
      <c r="M606" s="56" t="s">
        <v>1543</v>
      </c>
    </row>
    <row r="607">
      <c r="M607" s="56" t="s">
        <v>1551</v>
      </c>
    </row>
    <row r="608">
      <c r="A608" s="56" t="s">
        <v>1246</v>
      </c>
      <c r="M608" s="56" t="s">
        <v>1552</v>
      </c>
    </row>
    <row r="609">
      <c r="A609" s="56" t="s">
        <v>1553</v>
      </c>
      <c r="M609" s="56" t="s">
        <v>1554</v>
      </c>
    </row>
    <row r="610">
      <c r="A610" s="56" t="s">
        <v>972</v>
      </c>
      <c r="M610" s="56" t="s">
        <v>1431</v>
      </c>
    </row>
    <row r="611">
      <c r="A611" s="56" t="s">
        <v>981</v>
      </c>
      <c r="M611" s="56" t="s">
        <v>1555</v>
      </c>
    </row>
    <row r="612">
      <c r="A612" s="56" t="s">
        <v>1021</v>
      </c>
      <c r="M612" s="56" t="s">
        <v>1556</v>
      </c>
    </row>
    <row r="613">
      <c r="A613" s="56" t="s">
        <v>932</v>
      </c>
      <c r="M613" s="56" t="s">
        <v>1543</v>
      </c>
    </row>
    <row r="614">
      <c r="M614" s="56" t="s">
        <v>1557</v>
      </c>
    </row>
    <row r="615">
      <c r="A615" s="56" t="s">
        <v>1249</v>
      </c>
      <c r="M615" s="56" t="s">
        <v>1558</v>
      </c>
    </row>
    <row r="616">
      <c r="A616" s="56" t="s">
        <v>1362</v>
      </c>
      <c r="M616" s="56" t="s">
        <v>1431</v>
      </c>
    </row>
    <row r="617">
      <c r="A617" s="56" t="s">
        <v>1559</v>
      </c>
      <c r="M617" s="56" t="s">
        <v>1560</v>
      </c>
    </row>
    <row r="618">
      <c r="A618" s="56" t="s">
        <v>1043</v>
      </c>
      <c r="M618" s="56" t="s">
        <v>1561</v>
      </c>
    </row>
    <row r="619">
      <c r="A619" s="56" t="s">
        <v>1562</v>
      </c>
      <c r="M619" s="56" t="s">
        <v>1563</v>
      </c>
    </row>
    <row r="620">
      <c r="A620" s="56" t="s">
        <v>1564</v>
      </c>
      <c r="M620" s="56" t="s">
        <v>1565</v>
      </c>
    </row>
    <row r="621">
      <c r="A621" s="56" t="s">
        <v>1275</v>
      </c>
      <c r="M621" s="56" t="s">
        <v>1566</v>
      </c>
    </row>
    <row r="622">
      <c r="A622" s="56" t="s">
        <v>1172</v>
      </c>
      <c r="M622" s="56" t="s">
        <v>1431</v>
      </c>
    </row>
    <row r="623">
      <c r="A623" s="56" t="s">
        <v>1060</v>
      </c>
      <c r="M623" s="56" t="s">
        <v>1431</v>
      </c>
    </row>
    <row r="624">
      <c r="A624" s="56" t="s">
        <v>932</v>
      </c>
      <c r="M624" s="56" t="s">
        <v>1431</v>
      </c>
    </row>
    <row r="625">
      <c r="M625" s="56" t="s">
        <v>1431</v>
      </c>
    </row>
    <row r="626">
      <c r="A626" s="56" t="s">
        <v>1258</v>
      </c>
      <c r="M626" s="56" t="s">
        <v>1431</v>
      </c>
    </row>
    <row r="627">
      <c r="A627" s="56" t="s">
        <v>1044</v>
      </c>
    </row>
    <row r="628">
      <c r="A628" s="56" t="s">
        <v>1052</v>
      </c>
      <c r="M628" s="56" t="s">
        <v>1567</v>
      </c>
    </row>
    <row r="629">
      <c r="A629" s="56" t="s">
        <v>1196</v>
      </c>
      <c r="M629" s="56" t="s">
        <v>1568</v>
      </c>
    </row>
    <row r="630">
      <c r="A630" s="56" t="s">
        <v>1515</v>
      </c>
      <c r="M630" s="56" t="s">
        <v>1506</v>
      </c>
    </row>
    <row r="631">
      <c r="A631" s="56" t="s">
        <v>1569</v>
      </c>
      <c r="M631" s="56" t="s">
        <v>1531</v>
      </c>
    </row>
    <row r="632">
      <c r="A632" s="56" t="s">
        <v>1060</v>
      </c>
      <c r="M632" s="56" t="s">
        <v>1570</v>
      </c>
    </row>
    <row r="633">
      <c r="A633" s="56" t="s">
        <v>1571</v>
      </c>
      <c r="M633" s="56" t="s">
        <v>1572</v>
      </c>
    </row>
    <row r="634">
      <c r="A634" s="56" t="s">
        <v>1573</v>
      </c>
      <c r="M634" s="56" t="s">
        <v>1574</v>
      </c>
    </row>
    <row r="635">
      <c r="A635" s="56" t="s">
        <v>972</v>
      </c>
      <c r="M635" s="56" t="s">
        <v>1575</v>
      </c>
    </row>
    <row r="636">
      <c r="A636" s="56" t="s">
        <v>1020</v>
      </c>
      <c r="M636" s="56" t="s">
        <v>1431</v>
      </c>
    </row>
    <row r="637">
      <c r="A637" s="56" t="s">
        <v>1124</v>
      </c>
      <c r="M637" s="56" t="s">
        <v>1431</v>
      </c>
    </row>
    <row r="638">
      <c r="A638" s="56" t="s">
        <v>1171</v>
      </c>
      <c r="M638" s="56" t="s">
        <v>1576</v>
      </c>
    </row>
    <row r="639">
      <c r="A639" s="56" t="s">
        <v>932</v>
      </c>
      <c r="M639" s="56" t="s">
        <v>1577</v>
      </c>
    </row>
    <row r="640">
      <c r="M640" s="56" t="s">
        <v>1578</v>
      </c>
    </row>
    <row r="641">
      <c r="A641" s="56" t="s">
        <v>1579</v>
      </c>
      <c r="M641" s="56" t="s">
        <v>1580</v>
      </c>
    </row>
    <row r="642">
      <c r="A642" s="56" t="s">
        <v>1581</v>
      </c>
      <c r="M642" s="56" t="s">
        <v>1431</v>
      </c>
    </row>
    <row r="643">
      <c r="A643" s="56" t="s">
        <v>1582</v>
      </c>
      <c r="M643" s="56" t="s">
        <v>1583</v>
      </c>
    </row>
    <row r="644">
      <c r="A644" s="56" t="s">
        <v>1584</v>
      </c>
      <c r="M644" s="56" t="s">
        <v>1585</v>
      </c>
    </row>
    <row r="645">
      <c r="A645" s="56" t="s">
        <v>932</v>
      </c>
      <c r="M645" s="56" t="s">
        <v>1586</v>
      </c>
    </row>
    <row r="646">
      <c r="M646" s="56" t="s">
        <v>1587</v>
      </c>
    </row>
    <row r="647">
      <c r="A647" s="56" t="s">
        <v>1588</v>
      </c>
      <c r="M647" s="56" t="s">
        <v>1589</v>
      </c>
    </row>
    <row r="648">
      <c r="A648" s="56" t="s">
        <v>1297</v>
      </c>
      <c r="M648" s="56" t="s">
        <v>1590</v>
      </c>
    </row>
    <row r="649">
      <c r="A649" s="56" t="s">
        <v>1298</v>
      </c>
      <c r="M649" s="56" t="s">
        <v>1591</v>
      </c>
    </row>
    <row r="650">
      <c r="A650" s="56" t="s">
        <v>1304</v>
      </c>
      <c r="M650" s="56" t="s">
        <v>1431</v>
      </c>
    </row>
    <row r="651">
      <c r="A651" s="56" t="s">
        <v>932</v>
      </c>
      <c r="M651" s="56" t="s">
        <v>1431</v>
      </c>
    </row>
    <row r="652">
      <c r="M652" s="56" t="s">
        <v>1431</v>
      </c>
    </row>
    <row r="653">
      <c r="A653" s="56" t="s">
        <v>1268</v>
      </c>
      <c r="M653" s="56" t="s">
        <v>1592</v>
      </c>
    </row>
    <row r="654">
      <c r="A654" s="56" t="s">
        <v>1593</v>
      </c>
      <c r="M654" s="56" t="s">
        <v>1594</v>
      </c>
    </row>
    <row r="655">
      <c r="A655" s="56" t="s">
        <v>1595</v>
      </c>
      <c r="M655" s="56" t="s">
        <v>1431</v>
      </c>
    </row>
    <row r="656">
      <c r="A656" s="56" t="s">
        <v>1172</v>
      </c>
    </row>
    <row r="657">
      <c r="A657" s="56" t="s">
        <v>1596</v>
      </c>
      <c r="M657" s="56" t="s">
        <v>1597</v>
      </c>
    </row>
    <row r="658">
      <c r="A658" s="56" t="s">
        <v>1196</v>
      </c>
      <c r="M658" s="56" t="s">
        <v>1598</v>
      </c>
    </row>
    <row r="659">
      <c r="A659" s="56" t="s">
        <v>1060</v>
      </c>
      <c r="M659" s="56" t="s">
        <v>1599</v>
      </c>
    </row>
    <row r="660">
      <c r="A660" s="56" t="s">
        <v>1061</v>
      </c>
      <c r="M660" s="56" t="s">
        <v>1600</v>
      </c>
    </row>
    <row r="661">
      <c r="A661" s="56" t="s">
        <v>1601</v>
      </c>
      <c r="M661" s="56" t="s">
        <v>1602</v>
      </c>
    </row>
    <row r="662">
      <c r="A662" s="56" t="s">
        <v>932</v>
      </c>
      <c r="M662" s="56" t="s">
        <v>1603</v>
      </c>
    </row>
    <row r="663">
      <c r="M663" s="56" t="s">
        <v>1431</v>
      </c>
    </row>
    <row r="664">
      <c r="A664" s="56" t="s">
        <v>1604</v>
      </c>
      <c r="M664" s="56" t="s">
        <v>1605</v>
      </c>
    </row>
    <row r="665">
      <c r="A665" s="56" t="s">
        <v>1297</v>
      </c>
      <c r="M665" s="56" t="s">
        <v>1431</v>
      </c>
    </row>
    <row r="666">
      <c r="A666" s="56" t="s">
        <v>1298</v>
      </c>
      <c r="M666" s="56" t="s">
        <v>1431</v>
      </c>
    </row>
    <row r="667">
      <c r="A667" s="56" t="s">
        <v>1304</v>
      </c>
      <c r="M667" s="56" t="s">
        <v>1431</v>
      </c>
    </row>
    <row r="668">
      <c r="A668" s="56" t="s">
        <v>932</v>
      </c>
    </row>
    <row r="669">
      <c r="M669" s="56" t="s">
        <v>1606</v>
      </c>
    </row>
    <row r="670">
      <c r="A670" s="56" t="s">
        <v>1276</v>
      </c>
      <c r="M670" s="56" t="s">
        <v>1607</v>
      </c>
    </row>
    <row r="671">
      <c r="A671" s="56" t="s">
        <v>972</v>
      </c>
      <c r="M671" s="56" t="s">
        <v>1506</v>
      </c>
    </row>
    <row r="672">
      <c r="A672" s="56" t="s">
        <v>1181</v>
      </c>
      <c r="M672" s="56" t="s">
        <v>1531</v>
      </c>
    </row>
    <row r="673">
      <c r="A673" s="56" t="s">
        <v>1020</v>
      </c>
      <c r="M673" s="56" t="s">
        <v>1608</v>
      </c>
    </row>
    <row r="674">
      <c r="A674" s="56" t="s">
        <v>1074</v>
      </c>
      <c r="M674" s="56" t="s">
        <v>1609</v>
      </c>
    </row>
    <row r="675">
      <c r="A675" s="56" t="s">
        <v>1610</v>
      </c>
      <c r="M675" s="56" t="s">
        <v>1611</v>
      </c>
    </row>
    <row r="676">
      <c r="A676" s="56" t="s">
        <v>1612</v>
      </c>
      <c r="M676" s="56" t="s">
        <v>1613</v>
      </c>
    </row>
    <row r="677">
      <c r="A677" s="56" t="s">
        <v>1614</v>
      </c>
      <c r="M677" s="56" t="s">
        <v>1615</v>
      </c>
    </row>
    <row r="678">
      <c r="A678" s="56" t="s">
        <v>1342</v>
      </c>
      <c r="M678" s="56" t="s">
        <v>1431</v>
      </c>
    </row>
    <row r="679">
      <c r="A679" s="56" t="s">
        <v>932</v>
      </c>
      <c r="M679" s="56" t="s">
        <v>1576</v>
      </c>
    </row>
    <row r="680">
      <c r="M680" s="56" t="s">
        <v>1577</v>
      </c>
    </row>
    <row r="681">
      <c r="A681" s="56" t="s">
        <v>1616</v>
      </c>
      <c r="M681" s="56" t="s">
        <v>1617</v>
      </c>
    </row>
    <row r="682">
      <c r="A682" s="56" t="s">
        <v>1044</v>
      </c>
      <c r="M682" s="56" t="s">
        <v>1618</v>
      </c>
    </row>
    <row r="683">
      <c r="A683" s="56" t="s">
        <v>1326</v>
      </c>
      <c r="M683" s="56" t="s">
        <v>1431</v>
      </c>
    </row>
    <row r="684">
      <c r="A684" s="56" t="s">
        <v>1196</v>
      </c>
      <c r="M684" s="56" t="s">
        <v>1619</v>
      </c>
    </row>
    <row r="685">
      <c r="A685" s="56" t="s">
        <v>932</v>
      </c>
      <c r="M685" s="56" t="s">
        <v>1620</v>
      </c>
    </row>
    <row r="686">
      <c r="M686" s="56" t="s">
        <v>1621</v>
      </c>
    </row>
    <row r="687">
      <c r="A687" s="56" t="s">
        <v>1622</v>
      </c>
      <c r="M687" s="56" t="s">
        <v>1623</v>
      </c>
    </row>
    <row r="688">
      <c r="A688" s="56" t="s">
        <v>951</v>
      </c>
      <c r="M688" s="56" t="s">
        <v>1624</v>
      </c>
    </row>
    <row r="689">
      <c r="A689" s="56" t="s">
        <v>948</v>
      </c>
      <c r="M689" s="56" t="s">
        <v>1625</v>
      </c>
    </row>
    <row r="690">
      <c r="A690" s="56" t="s">
        <v>932</v>
      </c>
      <c r="M690" s="56" t="s">
        <v>1626</v>
      </c>
    </row>
    <row r="691">
      <c r="M691" s="56" t="s">
        <v>1627</v>
      </c>
    </row>
    <row r="692">
      <c r="A692" s="56" t="s">
        <v>1283</v>
      </c>
      <c r="M692" s="56" t="s">
        <v>1628</v>
      </c>
    </row>
    <row r="693">
      <c r="A693" s="56" t="s">
        <v>1629</v>
      </c>
      <c r="M693" s="56" t="s">
        <v>1431</v>
      </c>
    </row>
    <row r="694">
      <c r="A694" s="56" t="s">
        <v>1630</v>
      </c>
      <c r="M694" s="56" t="s">
        <v>1631</v>
      </c>
    </row>
    <row r="695">
      <c r="A695" s="56" t="s">
        <v>932</v>
      </c>
      <c r="M695" s="56" t="s">
        <v>1431</v>
      </c>
    </row>
    <row r="696">
      <c r="M696" s="56" t="s">
        <v>1431</v>
      </c>
    </row>
    <row r="697">
      <c r="A697" s="56" t="s">
        <v>1632</v>
      </c>
      <c r="M697" s="56" t="s">
        <v>1633</v>
      </c>
    </row>
    <row r="698">
      <c r="A698" s="56" t="s">
        <v>1519</v>
      </c>
      <c r="M698" s="56" t="s">
        <v>1634</v>
      </c>
    </row>
    <row r="699">
      <c r="A699" s="56" t="s">
        <v>1635</v>
      </c>
      <c r="M699" s="56" t="s">
        <v>1431</v>
      </c>
    </row>
    <row r="700">
      <c r="A700" s="56" t="s">
        <v>1063</v>
      </c>
      <c r="M700" s="56" t="s">
        <v>1431</v>
      </c>
    </row>
    <row r="701">
      <c r="A701" s="56" t="s">
        <v>932</v>
      </c>
    </row>
    <row r="702">
      <c r="M702" s="56" t="s">
        <v>1636</v>
      </c>
    </row>
    <row r="703">
      <c r="A703" s="56" t="s">
        <v>1287</v>
      </c>
      <c r="M703" s="56" t="s">
        <v>1637</v>
      </c>
    </row>
    <row r="704">
      <c r="A704" s="56" t="s">
        <v>1638</v>
      </c>
      <c r="M704" s="56" t="s">
        <v>1639</v>
      </c>
    </row>
    <row r="705">
      <c r="A705" s="56" t="s">
        <v>1640</v>
      </c>
      <c r="M705" s="56" t="s">
        <v>1531</v>
      </c>
    </row>
    <row r="706">
      <c r="A706" s="56" t="s">
        <v>1641</v>
      </c>
      <c r="M706" s="56" t="s">
        <v>1642</v>
      </c>
    </row>
    <row r="707">
      <c r="A707" s="56" t="s">
        <v>1035</v>
      </c>
      <c r="M707" s="56" t="s">
        <v>1431</v>
      </c>
    </row>
    <row r="708">
      <c r="A708" s="56" t="s">
        <v>966</v>
      </c>
      <c r="M708" s="56" t="s">
        <v>1535</v>
      </c>
    </row>
    <row r="709">
      <c r="A709" s="56" t="s">
        <v>1038</v>
      </c>
      <c r="M709" s="56" t="s">
        <v>1643</v>
      </c>
    </row>
    <row r="710">
      <c r="A710" s="56" t="s">
        <v>1500</v>
      </c>
      <c r="M710" s="56" t="s">
        <v>1644</v>
      </c>
    </row>
    <row r="711">
      <c r="A711" s="56" t="s">
        <v>1196</v>
      </c>
      <c r="M711" s="56" t="s">
        <v>1645</v>
      </c>
    </row>
    <row r="712">
      <c r="A712" s="56" t="s">
        <v>1044</v>
      </c>
      <c r="M712" s="56" t="s">
        <v>1646</v>
      </c>
    </row>
    <row r="713">
      <c r="A713" s="56" t="s">
        <v>1275</v>
      </c>
      <c r="M713" s="56" t="s">
        <v>1431</v>
      </c>
    </row>
    <row r="714">
      <c r="A714" s="56" t="s">
        <v>1133</v>
      </c>
      <c r="M714" s="56" t="s">
        <v>1647</v>
      </c>
    </row>
    <row r="715">
      <c r="A715" s="56" t="s">
        <v>932</v>
      </c>
      <c r="M715" s="56" t="s">
        <v>1431</v>
      </c>
    </row>
    <row r="717">
      <c r="A717" s="56" t="s">
        <v>1648</v>
      </c>
      <c r="M717" s="56" t="s">
        <v>1649</v>
      </c>
    </row>
    <row r="718">
      <c r="A718" s="56" t="s">
        <v>1061</v>
      </c>
      <c r="M718" s="56" t="s">
        <v>1543</v>
      </c>
    </row>
    <row r="719">
      <c r="A719" s="56" t="s">
        <v>1067</v>
      </c>
      <c r="M719" s="56" t="s">
        <v>1650</v>
      </c>
    </row>
    <row r="720">
      <c r="A720" s="56" t="s">
        <v>932</v>
      </c>
    </row>
    <row r="721">
      <c r="M721" s="56" t="s">
        <v>1651</v>
      </c>
    </row>
    <row r="722">
      <c r="A722" s="56" t="s">
        <v>1652</v>
      </c>
      <c r="M722" s="56" t="s">
        <v>1653</v>
      </c>
    </row>
    <row r="723">
      <c r="A723" s="56" t="s">
        <v>951</v>
      </c>
      <c r="M723" s="56" t="s">
        <v>1654</v>
      </c>
    </row>
    <row r="724">
      <c r="A724" s="56" t="s">
        <v>932</v>
      </c>
      <c r="M724" s="56" t="s">
        <v>1655</v>
      </c>
    </row>
    <row r="725">
      <c r="M725" s="56" t="s">
        <v>1431</v>
      </c>
    </row>
    <row r="726">
      <c r="A726" s="56" t="s">
        <v>1656</v>
      </c>
      <c r="M726" s="56" t="s">
        <v>1657</v>
      </c>
    </row>
    <row r="727">
      <c r="A727" s="56" t="s">
        <v>1658</v>
      </c>
      <c r="M727" s="56" t="s">
        <v>1431</v>
      </c>
    </row>
    <row r="728">
      <c r="A728" s="56" t="s">
        <v>1659</v>
      </c>
    </row>
    <row r="729">
      <c r="A729" s="56" t="s">
        <v>932</v>
      </c>
      <c r="M729" s="56" t="s">
        <v>1660</v>
      </c>
    </row>
    <row r="730">
      <c r="M730" s="56" t="s">
        <v>1661</v>
      </c>
    </row>
    <row r="731">
      <c r="A731" s="56" t="s">
        <v>1662</v>
      </c>
      <c r="M731" s="56" t="s">
        <v>1663</v>
      </c>
    </row>
    <row r="732">
      <c r="A732" s="56" t="s">
        <v>1664</v>
      </c>
      <c r="M732" s="56" t="s">
        <v>1665</v>
      </c>
    </row>
    <row r="733">
      <c r="A733" s="56" t="s">
        <v>1659</v>
      </c>
      <c r="M733" s="56" t="s">
        <v>1666</v>
      </c>
    </row>
    <row r="734">
      <c r="A734" s="56" t="s">
        <v>932</v>
      </c>
      <c r="M734" s="56" t="s">
        <v>1667</v>
      </c>
    </row>
    <row r="735">
      <c r="M735" s="56" t="s">
        <v>1668</v>
      </c>
    </row>
    <row r="736">
      <c r="A736" s="56" t="s">
        <v>1669</v>
      </c>
      <c r="M736" s="56" t="s">
        <v>1431</v>
      </c>
    </row>
    <row r="737">
      <c r="A737" s="56" t="s">
        <v>1076</v>
      </c>
    </row>
    <row r="738">
      <c r="A738" s="56" t="s">
        <v>1119</v>
      </c>
      <c r="M738" s="56" t="s">
        <v>1543</v>
      </c>
    </row>
    <row r="739">
      <c r="A739" s="56" t="s">
        <v>1670</v>
      </c>
      <c r="M739" s="56" t="s">
        <v>1671</v>
      </c>
    </row>
    <row r="740">
      <c r="A740" s="56" t="s">
        <v>932</v>
      </c>
      <c r="M740" s="56" t="s">
        <v>1672</v>
      </c>
    </row>
    <row r="741">
      <c r="M741" s="56" t="s">
        <v>1673</v>
      </c>
    </row>
    <row r="742">
      <c r="A742" s="56" t="s">
        <v>1674</v>
      </c>
      <c r="M742" s="56" t="s">
        <v>1431</v>
      </c>
    </row>
    <row r="743">
      <c r="A743" s="56" t="s">
        <v>1275</v>
      </c>
    </row>
    <row r="744">
      <c r="A744" s="56" t="s">
        <v>932</v>
      </c>
      <c r="M744" s="56" t="s">
        <v>1560</v>
      </c>
    </row>
    <row r="745">
      <c r="M745" s="56" t="s">
        <v>1675</v>
      </c>
    </row>
    <row r="746">
      <c r="A746" s="56" t="s">
        <v>1676</v>
      </c>
      <c r="M746" s="56" t="s">
        <v>1563</v>
      </c>
    </row>
    <row r="747">
      <c r="A747" s="56" t="s">
        <v>1677</v>
      </c>
      <c r="M747" s="56" t="s">
        <v>1678</v>
      </c>
    </row>
    <row r="748">
      <c r="A748" s="56" t="s">
        <v>932</v>
      </c>
      <c r="M748" s="56" t="s">
        <v>1679</v>
      </c>
    </row>
    <row r="749">
      <c r="M749" s="56" t="s">
        <v>1431</v>
      </c>
    </row>
    <row r="750">
      <c r="A750" s="56" t="s">
        <v>1680</v>
      </c>
      <c r="M750" s="56" t="s">
        <v>1431</v>
      </c>
    </row>
    <row r="751">
      <c r="A751" s="56" t="s">
        <v>1681</v>
      </c>
      <c r="M751" s="56" t="s">
        <v>1431</v>
      </c>
    </row>
    <row r="752">
      <c r="A752" s="56" t="s">
        <v>1682</v>
      </c>
    </row>
    <row r="753">
      <c r="A753" s="56" t="s">
        <v>1362</v>
      </c>
      <c r="M753" s="56" t="s">
        <v>1683</v>
      </c>
    </row>
    <row r="754">
      <c r="A754" s="56" t="s">
        <v>1684</v>
      </c>
      <c r="M754" s="56" t="s">
        <v>1685</v>
      </c>
    </row>
    <row r="755">
      <c r="A755" s="56" t="s">
        <v>1043</v>
      </c>
      <c r="M755" s="56" t="s">
        <v>1431</v>
      </c>
    </row>
    <row r="756">
      <c r="A756" s="56" t="s">
        <v>932</v>
      </c>
      <c r="M756" s="56" t="s">
        <v>1431</v>
      </c>
    </row>
    <row r="757">
      <c r="M757" s="56" t="s">
        <v>1431</v>
      </c>
    </row>
    <row r="758">
      <c r="A758" s="56" t="s">
        <v>1686</v>
      </c>
    </row>
    <row r="759">
      <c r="A759" s="56" t="s">
        <v>1681</v>
      </c>
      <c r="M759" s="56" t="s">
        <v>1687</v>
      </c>
    </row>
    <row r="760">
      <c r="A760" s="56" t="s">
        <v>1688</v>
      </c>
      <c r="M760" s="56" t="s">
        <v>1530</v>
      </c>
    </row>
    <row r="761">
      <c r="A761" s="56" t="s">
        <v>932</v>
      </c>
      <c r="M761" s="56" t="s">
        <v>1689</v>
      </c>
    </row>
    <row r="762">
      <c r="A762" s="56" t="s">
        <v>932</v>
      </c>
      <c r="M762" s="56" t="s">
        <v>1535</v>
      </c>
    </row>
    <row r="763">
      <c r="M763" s="56" t="s">
        <v>1690</v>
      </c>
    </row>
    <row r="764">
      <c r="A764" s="56" t="s">
        <v>1691</v>
      </c>
      <c r="M764" s="56" t="s">
        <v>1692</v>
      </c>
    </row>
    <row r="765">
      <c r="A765" s="56" t="s">
        <v>1681</v>
      </c>
      <c r="M765" s="56" t="s">
        <v>1693</v>
      </c>
    </row>
    <row r="766">
      <c r="A766" s="56" t="s">
        <v>1694</v>
      </c>
      <c r="M766" s="56" t="s">
        <v>1695</v>
      </c>
    </row>
    <row r="767">
      <c r="A767" s="56" t="s">
        <v>932</v>
      </c>
      <c r="M767" s="56" t="s">
        <v>1696</v>
      </c>
    </row>
    <row r="768">
      <c r="A768" s="56" t="s">
        <v>932</v>
      </c>
      <c r="M768" s="56" t="s">
        <v>1431</v>
      </c>
    </row>
    <row r="769">
      <c r="M769" s="56" t="s">
        <v>1697</v>
      </c>
    </row>
    <row r="770">
      <c r="A770" s="56" t="s">
        <v>1698</v>
      </c>
      <c r="M770" s="56" t="s">
        <v>1699</v>
      </c>
    </row>
    <row r="771">
      <c r="A771" s="56" t="s">
        <v>1681</v>
      </c>
    </row>
    <row r="772">
      <c r="A772" s="56" t="s">
        <v>1469</v>
      </c>
      <c r="M772" s="56" t="s">
        <v>1543</v>
      </c>
    </row>
    <row r="773">
      <c r="A773" s="56" t="s">
        <v>932</v>
      </c>
      <c r="M773" s="56" t="s">
        <v>1700</v>
      </c>
    </row>
    <row r="774">
      <c r="A774" s="56" t="s">
        <v>932</v>
      </c>
      <c r="M774" s="56" t="s">
        <v>1701</v>
      </c>
    </row>
    <row r="775">
      <c r="M775" s="56" t="s">
        <v>1702</v>
      </c>
    </row>
    <row r="776">
      <c r="A776" s="56" t="s">
        <v>1321</v>
      </c>
    </row>
    <row r="777">
      <c r="A777" s="56" t="s">
        <v>1171</v>
      </c>
      <c r="M777" s="56" t="s">
        <v>1543</v>
      </c>
    </row>
    <row r="778">
      <c r="A778" s="56" t="s">
        <v>1172</v>
      </c>
      <c r="M778" s="56" t="s">
        <v>1560</v>
      </c>
    </row>
    <row r="779">
      <c r="A779" s="56" t="s">
        <v>1703</v>
      </c>
      <c r="M779" s="56" t="s">
        <v>1704</v>
      </c>
    </row>
    <row r="780">
      <c r="A780" s="56" t="s">
        <v>1006</v>
      </c>
      <c r="M780" s="56" t="s">
        <v>1563</v>
      </c>
    </row>
    <row r="781">
      <c r="A781" s="56" t="s">
        <v>1061</v>
      </c>
      <c r="M781" s="56" t="s">
        <v>1705</v>
      </c>
    </row>
    <row r="782">
      <c r="A782" s="56" t="s">
        <v>1706</v>
      </c>
      <c r="M782" s="56" t="s">
        <v>1707</v>
      </c>
    </row>
    <row r="783">
      <c r="A783" s="56" t="s">
        <v>972</v>
      </c>
      <c r="M783" s="56" t="s">
        <v>1431</v>
      </c>
    </row>
    <row r="784">
      <c r="A784" s="56" t="s">
        <v>981</v>
      </c>
      <c r="M784" s="56" t="s">
        <v>1431</v>
      </c>
    </row>
    <row r="785">
      <c r="A785" s="56" t="s">
        <v>932</v>
      </c>
      <c r="M785" s="56" t="s">
        <v>1431</v>
      </c>
    </row>
    <row r="786">
      <c r="M786" s="56" t="s">
        <v>1431</v>
      </c>
    </row>
    <row r="787">
      <c r="A787" s="56" t="s">
        <v>1708</v>
      </c>
      <c r="M787" s="56" t="s">
        <v>1431</v>
      </c>
    </row>
    <row r="788">
      <c r="A788" s="56" t="s">
        <v>1271</v>
      </c>
    </row>
    <row r="789">
      <c r="A789" s="56" t="s">
        <v>1709</v>
      </c>
      <c r="M789" s="56" t="s">
        <v>1710</v>
      </c>
    </row>
    <row r="790">
      <c r="A790" s="56" t="s">
        <v>1711</v>
      </c>
      <c r="M790" s="56" t="s">
        <v>1712</v>
      </c>
    </row>
    <row r="791">
      <c r="A791" s="56" t="s">
        <v>932</v>
      </c>
      <c r="M791" s="56" t="s">
        <v>1506</v>
      </c>
    </row>
    <row r="792">
      <c r="M792" s="56" t="s">
        <v>1531</v>
      </c>
    </row>
    <row r="793">
      <c r="A793" s="56" t="s">
        <v>1713</v>
      </c>
      <c r="M793" s="56" t="s">
        <v>1714</v>
      </c>
    </row>
    <row r="794">
      <c r="A794" s="56" t="s">
        <v>1715</v>
      </c>
      <c r="M794" s="56" t="s">
        <v>1716</v>
      </c>
    </row>
    <row r="795">
      <c r="A795" s="56" t="s">
        <v>1717</v>
      </c>
      <c r="M795" s="56" t="s">
        <v>1431</v>
      </c>
    </row>
    <row r="796">
      <c r="A796" s="56" t="s">
        <v>932</v>
      </c>
      <c r="M796" s="56" t="s">
        <v>1718</v>
      </c>
    </row>
    <row r="797">
      <c r="M797" s="56" t="s">
        <v>1431</v>
      </c>
    </row>
    <row r="798">
      <c r="A798" s="56" t="s">
        <v>1719</v>
      </c>
      <c r="M798" s="56" t="s">
        <v>1431</v>
      </c>
    </row>
    <row r="799">
      <c r="A799" s="56" t="s">
        <v>1720</v>
      </c>
    </row>
    <row r="800">
      <c r="A800" s="56" t="s">
        <v>1519</v>
      </c>
      <c r="M800" s="56" t="s">
        <v>1721</v>
      </c>
    </row>
    <row r="801">
      <c r="A801" s="56" t="s">
        <v>1722</v>
      </c>
      <c r="M801" s="56" t="s">
        <v>1723</v>
      </c>
    </row>
    <row r="802">
      <c r="A802" s="56" t="s">
        <v>1724</v>
      </c>
      <c r="M802" s="56" t="s">
        <v>1725</v>
      </c>
    </row>
    <row r="803">
      <c r="A803" s="56" t="s">
        <v>1375</v>
      </c>
      <c r="M803" s="56" t="s">
        <v>1506</v>
      </c>
    </row>
    <row r="804">
      <c r="A804" s="56" t="s">
        <v>972</v>
      </c>
      <c r="M804" s="56" t="s">
        <v>1531</v>
      </c>
    </row>
    <row r="805">
      <c r="A805" s="56" t="s">
        <v>1020</v>
      </c>
      <c r="M805" s="56" t="s">
        <v>1726</v>
      </c>
    </row>
    <row r="806">
      <c r="A806" s="56" t="s">
        <v>1124</v>
      </c>
      <c r="M806" s="56" t="s">
        <v>1727</v>
      </c>
    </row>
    <row r="807">
      <c r="A807" s="56" t="s">
        <v>1006</v>
      </c>
      <c r="M807" s="56" t="s">
        <v>1431</v>
      </c>
    </row>
    <row r="808">
      <c r="A808" s="56" t="s">
        <v>1005</v>
      </c>
      <c r="M808" s="56" t="s">
        <v>1576</v>
      </c>
    </row>
    <row r="809">
      <c r="A809" s="56" t="s">
        <v>932</v>
      </c>
      <c r="M809" s="56" t="s">
        <v>1577</v>
      </c>
    </row>
    <row r="810">
      <c r="M810" s="56" t="s">
        <v>1617</v>
      </c>
    </row>
    <row r="811">
      <c r="A811" s="56" t="s">
        <v>1728</v>
      </c>
      <c r="M811" s="56" t="s">
        <v>1729</v>
      </c>
    </row>
    <row r="812">
      <c r="A812" s="56" t="s">
        <v>1519</v>
      </c>
      <c r="M812" s="56" t="s">
        <v>1431</v>
      </c>
    </row>
    <row r="813">
      <c r="A813" s="56" t="s">
        <v>945</v>
      </c>
      <c r="M813" s="56" t="s">
        <v>1730</v>
      </c>
    </row>
    <row r="814">
      <c r="A814" s="56" t="s">
        <v>1731</v>
      </c>
      <c r="M814" s="56" t="s">
        <v>1732</v>
      </c>
    </row>
    <row r="815">
      <c r="A815" s="56" t="s">
        <v>1733</v>
      </c>
      <c r="M815" s="56" t="s">
        <v>1734</v>
      </c>
    </row>
    <row r="816">
      <c r="A816" s="56" t="s">
        <v>932</v>
      </c>
      <c r="M816" s="56" t="s">
        <v>1735</v>
      </c>
    </row>
    <row r="817">
      <c r="M817" s="56" t="s">
        <v>1736</v>
      </c>
    </row>
    <row r="818">
      <c r="A818" s="56" t="s">
        <v>1737</v>
      </c>
      <c r="M818" s="56" t="s">
        <v>1738</v>
      </c>
    </row>
    <row r="819">
      <c r="A819" s="56" t="s">
        <v>972</v>
      </c>
      <c r="M819" s="56" t="s">
        <v>1628</v>
      </c>
    </row>
    <row r="820">
      <c r="A820" s="56" t="s">
        <v>981</v>
      </c>
      <c r="M820" s="56" t="s">
        <v>1739</v>
      </c>
    </row>
    <row r="821">
      <c r="A821" s="56" t="s">
        <v>1020</v>
      </c>
      <c r="M821" s="56" t="s">
        <v>1431</v>
      </c>
    </row>
    <row r="822">
      <c r="A822" s="56" t="s">
        <v>1124</v>
      </c>
      <c r="M822" s="56" t="s">
        <v>1431</v>
      </c>
    </row>
    <row r="823">
      <c r="A823" s="56" t="s">
        <v>1519</v>
      </c>
      <c r="M823" s="56" t="s">
        <v>1740</v>
      </c>
    </row>
    <row r="824">
      <c r="A824" s="56" t="s">
        <v>945</v>
      </c>
      <c r="M824" s="56" t="s">
        <v>1741</v>
      </c>
    </row>
    <row r="825">
      <c r="A825" s="56" t="s">
        <v>1016</v>
      </c>
      <c r="M825" s="56" t="s">
        <v>1431</v>
      </c>
    </row>
    <row r="826">
      <c r="A826" s="56" t="s">
        <v>1742</v>
      </c>
      <c r="M826" s="56" t="s">
        <v>1431</v>
      </c>
    </row>
    <row r="827">
      <c r="A827" s="56" t="s">
        <v>966</v>
      </c>
    </row>
    <row r="828">
      <c r="A828" s="56" t="s">
        <v>1428</v>
      </c>
      <c r="M828" s="56" t="s">
        <v>1743</v>
      </c>
    </row>
    <row r="829">
      <c r="A829" s="56" t="s">
        <v>932</v>
      </c>
      <c r="M829" s="56" t="s">
        <v>1744</v>
      </c>
    </row>
    <row r="830">
      <c r="M830" s="56" t="s">
        <v>1745</v>
      </c>
    </row>
    <row r="831">
      <c r="A831" s="56" t="s">
        <v>1746</v>
      </c>
    </row>
    <row r="832">
      <c r="A832" s="56" t="s">
        <v>1044</v>
      </c>
      <c r="M832" s="56" t="s">
        <v>1747</v>
      </c>
    </row>
    <row r="833">
      <c r="A833" s="56" t="s">
        <v>1035</v>
      </c>
      <c r="M833" s="56" t="s">
        <v>1748</v>
      </c>
    </row>
    <row r="834">
      <c r="A834" s="56" t="s">
        <v>966</v>
      </c>
      <c r="M834" s="56" t="s">
        <v>1749</v>
      </c>
    </row>
    <row r="835">
      <c r="A835" s="56" t="s">
        <v>1500</v>
      </c>
      <c r="M835" s="56" t="s">
        <v>1750</v>
      </c>
    </row>
    <row r="836">
      <c r="A836" s="56" t="s">
        <v>1038</v>
      </c>
      <c r="M836" s="56" t="s">
        <v>1751</v>
      </c>
    </row>
    <row r="837">
      <c r="A837" s="56" t="s">
        <v>1055</v>
      </c>
      <c r="M837" s="56" t="s">
        <v>1431</v>
      </c>
    </row>
    <row r="838">
      <c r="A838" s="56" t="s">
        <v>1752</v>
      </c>
    </row>
    <row r="839">
      <c r="A839" s="56" t="s">
        <v>932</v>
      </c>
      <c r="M839" s="56" t="s">
        <v>1753</v>
      </c>
    </row>
    <row r="840">
      <c r="M840" s="56" t="s">
        <v>1754</v>
      </c>
    </row>
    <row r="841">
      <c r="A841" s="56" t="s">
        <v>1755</v>
      </c>
      <c r="M841" s="56" t="s">
        <v>1530</v>
      </c>
    </row>
    <row r="842">
      <c r="A842" s="56" t="s">
        <v>1756</v>
      </c>
      <c r="M842" s="56" t="s">
        <v>1757</v>
      </c>
    </row>
    <row r="843">
      <c r="A843" s="56" t="s">
        <v>932</v>
      </c>
      <c r="M843" s="56" t="s">
        <v>1535</v>
      </c>
    </row>
    <row r="844">
      <c r="M844" s="56" t="s">
        <v>1537</v>
      </c>
    </row>
    <row r="845">
      <c r="A845" s="56" t="s">
        <v>1758</v>
      </c>
      <c r="M845" s="56" t="s">
        <v>1759</v>
      </c>
    </row>
    <row r="846">
      <c r="A846" s="56" t="s">
        <v>1760</v>
      </c>
      <c r="M846" s="56" t="s">
        <v>1761</v>
      </c>
    </row>
    <row r="847">
      <c r="A847" s="56" t="s">
        <v>1762</v>
      </c>
      <c r="M847" s="56" t="s">
        <v>1431</v>
      </c>
    </row>
    <row r="848">
      <c r="A848" s="56" t="s">
        <v>1031</v>
      </c>
      <c r="M848" s="56" t="s">
        <v>1763</v>
      </c>
    </row>
    <row r="849">
      <c r="A849" s="56" t="s">
        <v>972</v>
      </c>
      <c r="M849" s="56" t="s">
        <v>1764</v>
      </c>
    </row>
    <row r="850">
      <c r="A850" s="56" t="s">
        <v>1020</v>
      </c>
      <c r="M850" s="56" t="s">
        <v>1765</v>
      </c>
    </row>
    <row r="851">
      <c r="A851" s="56" t="s">
        <v>1124</v>
      </c>
      <c r="M851" s="56" t="s">
        <v>1431</v>
      </c>
    </row>
    <row r="852">
      <c r="A852" s="56" t="s">
        <v>1044</v>
      </c>
      <c r="M852" s="56" t="s">
        <v>1543</v>
      </c>
    </row>
    <row r="853">
      <c r="A853" s="56" t="s">
        <v>1326</v>
      </c>
      <c r="M853" s="56" t="s">
        <v>1766</v>
      </c>
    </row>
    <row r="854">
      <c r="A854" s="56" t="s">
        <v>1036</v>
      </c>
      <c r="M854" s="56" t="s">
        <v>1767</v>
      </c>
    </row>
    <row r="855">
      <c r="A855" s="56" t="s">
        <v>1481</v>
      </c>
      <c r="M855" s="56" t="s">
        <v>1768</v>
      </c>
    </row>
    <row r="856">
      <c r="A856" s="56" t="s">
        <v>932</v>
      </c>
      <c r="M856" s="56" t="s">
        <v>1431</v>
      </c>
    </row>
    <row r="857">
      <c r="M857" s="56" t="s">
        <v>1769</v>
      </c>
    </row>
    <row r="858">
      <c r="A858" s="56" t="s">
        <v>1770</v>
      </c>
      <c r="M858" s="56" t="s">
        <v>1560</v>
      </c>
    </row>
    <row r="859">
      <c r="A859" s="56" t="s">
        <v>1063</v>
      </c>
      <c r="M859" s="56" t="s">
        <v>1771</v>
      </c>
    </row>
    <row r="860">
      <c r="A860" s="56" t="s">
        <v>966</v>
      </c>
      <c r="M860" s="56" t="s">
        <v>1563</v>
      </c>
    </row>
    <row r="861">
      <c r="A861" s="56" t="s">
        <v>951</v>
      </c>
      <c r="M861" s="56" t="s">
        <v>1772</v>
      </c>
    </row>
    <row r="862">
      <c r="A862" s="56" t="s">
        <v>1773</v>
      </c>
      <c r="M862" s="56" t="s">
        <v>1774</v>
      </c>
    </row>
    <row r="863">
      <c r="A863" s="56" t="s">
        <v>1775</v>
      </c>
      <c r="M863" s="56" t="s">
        <v>1431</v>
      </c>
    </row>
    <row r="864">
      <c r="A864" s="56" t="s">
        <v>1776</v>
      </c>
      <c r="M864" s="56" t="s">
        <v>1431</v>
      </c>
    </row>
    <row r="865">
      <c r="A865" s="56" t="s">
        <v>1777</v>
      </c>
      <c r="M865" s="56" t="s">
        <v>1431</v>
      </c>
    </row>
    <row r="866">
      <c r="A866" s="56" t="s">
        <v>1006</v>
      </c>
      <c r="M866" s="56" t="s">
        <v>1431</v>
      </c>
    </row>
    <row r="867">
      <c r="A867" s="56" t="s">
        <v>1778</v>
      </c>
      <c r="M867" s="56" t="s">
        <v>1431</v>
      </c>
    </row>
    <row r="868">
      <c r="A868" s="56" t="s">
        <v>932</v>
      </c>
    </row>
    <row r="869">
      <c r="M869" s="56" t="s">
        <v>1779</v>
      </c>
    </row>
    <row r="870">
      <c r="A870" s="56" t="s">
        <v>1780</v>
      </c>
      <c r="M870" s="56" t="s">
        <v>1781</v>
      </c>
    </row>
    <row r="871">
      <c r="A871" s="56" t="s">
        <v>1044</v>
      </c>
      <c r="M871" s="56" t="s">
        <v>1506</v>
      </c>
    </row>
    <row r="872">
      <c r="A872" s="56" t="s">
        <v>1035</v>
      </c>
      <c r="M872" s="56" t="s">
        <v>1531</v>
      </c>
    </row>
    <row r="873">
      <c r="A873" s="56" t="s">
        <v>1196</v>
      </c>
      <c r="M873" s="56" t="s">
        <v>1782</v>
      </c>
    </row>
    <row r="874">
      <c r="A874" s="56" t="s">
        <v>1783</v>
      </c>
      <c r="M874" s="56" t="s">
        <v>1784</v>
      </c>
    </row>
    <row r="875">
      <c r="A875" s="56" t="s">
        <v>1133</v>
      </c>
      <c r="M875" s="56" t="s">
        <v>1431</v>
      </c>
    </row>
    <row r="876">
      <c r="A876" s="56" t="s">
        <v>1006</v>
      </c>
      <c r="M876" s="56" t="s">
        <v>1785</v>
      </c>
    </row>
    <row r="877">
      <c r="A877" s="56" t="s">
        <v>1136</v>
      </c>
      <c r="M877" s="56" t="s">
        <v>1431</v>
      </c>
    </row>
    <row r="878">
      <c r="A878" s="56" t="s">
        <v>932</v>
      </c>
      <c r="M878" s="56" t="s">
        <v>1431</v>
      </c>
    </row>
    <row r="880">
      <c r="A880" s="56" t="s">
        <v>1786</v>
      </c>
      <c r="M880" s="56" t="s">
        <v>1787</v>
      </c>
    </row>
    <row r="881">
      <c r="A881" s="56" t="s">
        <v>972</v>
      </c>
      <c r="M881" s="56" t="s">
        <v>1788</v>
      </c>
    </row>
    <row r="882">
      <c r="A882" s="56" t="s">
        <v>1020</v>
      </c>
      <c r="M882" s="56" t="s">
        <v>1506</v>
      </c>
    </row>
    <row r="883">
      <c r="A883" s="56" t="s">
        <v>1181</v>
      </c>
      <c r="M883" s="56" t="s">
        <v>1531</v>
      </c>
    </row>
    <row r="884">
      <c r="A884" s="56" t="s">
        <v>1789</v>
      </c>
      <c r="M884" s="56" t="s">
        <v>1790</v>
      </c>
    </row>
    <row r="885">
      <c r="A885" s="56" t="s">
        <v>1614</v>
      </c>
      <c r="M885" s="56" t="s">
        <v>1791</v>
      </c>
    </row>
    <row r="886">
      <c r="A886" s="56" t="s">
        <v>1792</v>
      </c>
      <c r="M886" s="56" t="s">
        <v>1793</v>
      </c>
    </row>
    <row r="887">
      <c r="A887" s="56" t="s">
        <v>932</v>
      </c>
      <c r="M887" s="56" t="s">
        <v>1794</v>
      </c>
    </row>
    <row r="888">
      <c r="M888" s="56" t="s">
        <v>1795</v>
      </c>
    </row>
    <row r="889">
      <c r="A889" s="56" t="s">
        <v>1796</v>
      </c>
      <c r="M889" s="56" t="s">
        <v>1797</v>
      </c>
    </row>
    <row r="890">
      <c r="A890" s="56" t="s">
        <v>1044</v>
      </c>
      <c r="M890" s="56" t="s">
        <v>1628</v>
      </c>
    </row>
    <row r="891">
      <c r="A891" s="56" t="s">
        <v>1034</v>
      </c>
      <c r="M891" s="56" t="s">
        <v>1431</v>
      </c>
    </row>
    <row r="892">
      <c r="A892" s="56" t="s">
        <v>1036</v>
      </c>
      <c r="M892" s="56" t="s">
        <v>1798</v>
      </c>
    </row>
    <row r="893">
      <c r="A893" s="56" t="s">
        <v>1430</v>
      </c>
      <c r="M893" s="56" t="s">
        <v>1431</v>
      </c>
    </row>
    <row r="894">
      <c r="A894" s="56" t="s">
        <v>932</v>
      </c>
      <c r="M894" s="56" t="s">
        <v>1431</v>
      </c>
    </row>
    <row r="896">
      <c r="A896" s="56" t="s">
        <v>1799</v>
      </c>
      <c r="M896" s="56" t="s">
        <v>1800</v>
      </c>
    </row>
    <row r="897">
      <c r="A897" s="56" t="s">
        <v>1044</v>
      </c>
      <c r="M897" s="56" t="s">
        <v>1801</v>
      </c>
    </row>
    <row r="898">
      <c r="A898" s="56" t="s">
        <v>1802</v>
      </c>
      <c r="M898" s="56" t="s">
        <v>1506</v>
      </c>
    </row>
    <row r="899">
      <c r="A899" s="56" t="s">
        <v>1036</v>
      </c>
      <c r="M899" s="56" t="s">
        <v>1803</v>
      </c>
    </row>
    <row r="900">
      <c r="A900" s="56" t="s">
        <v>1038</v>
      </c>
      <c r="M900" s="56" t="s">
        <v>1804</v>
      </c>
    </row>
    <row r="901">
      <c r="A901" s="56" t="s">
        <v>1500</v>
      </c>
      <c r="M901" s="56" t="s">
        <v>1431</v>
      </c>
    </row>
    <row r="902">
      <c r="A902" s="56" t="s">
        <v>1196</v>
      </c>
      <c r="M902" s="56" t="s">
        <v>1431</v>
      </c>
    </row>
    <row r="903">
      <c r="A903" s="56" t="s">
        <v>1143</v>
      </c>
    </row>
    <row r="904">
      <c r="A904" s="56" t="s">
        <v>932</v>
      </c>
      <c r="M904" s="56" t="s">
        <v>1805</v>
      </c>
    </row>
    <row r="905">
      <c r="M905" s="56" t="s">
        <v>1806</v>
      </c>
    </row>
    <row r="906">
      <c r="A906" s="56" t="s">
        <v>1807</v>
      </c>
      <c r="M906" s="56" t="s">
        <v>1808</v>
      </c>
    </row>
    <row r="907">
      <c r="A907" s="56" t="s">
        <v>948</v>
      </c>
      <c r="M907" s="56" t="s">
        <v>1600</v>
      </c>
    </row>
    <row r="908">
      <c r="A908" s="56" t="s">
        <v>1196</v>
      </c>
      <c r="M908" s="56" t="s">
        <v>1809</v>
      </c>
    </row>
    <row r="909">
      <c r="A909" s="56" t="s">
        <v>1008</v>
      </c>
      <c r="M909" s="56" t="s">
        <v>1810</v>
      </c>
    </row>
    <row r="910">
      <c r="A910" s="56" t="s">
        <v>932</v>
      </c>
      <c r="M910" s="56" t="s">
        <v>1431</v>
      </c>
    </row>
    <row r="911">
      <c r="M911" s="56" t="s">
        <v>1811</v>
      </c>
    </row>
    <row r="912">
      <c r="A912" s="56" t="s">
        <v>1812</v>
      </c>
      <c r="M912" s="56" t="s">
        <v>1813</v>
      </c>
    </row>
    <row r="913">
      <c r="A913" s="56" t="s">
        <v>1814</v>
      </c>
      <c r="M913" s="56" t="s">
        <v>1815</v>
      </c>
    </row>
    <row r="914">
      <c r="A914" s="56" t="s">
        <v>932</v>
      </c>
      <c r="M914" s="56" t="s">
        <v>1563</v>
      </c>
    </row>
    <row r="915">
      <c r="M915" s="56" t="s">
        <v>1816</v>
      </c>
    </row>
    <row r="916">
      <c r="A916" s="56" t="s">
        <v>1817</v>
      </c>
      <c r="M916" s="56" t="s">
        <v>1818</v>
      </c>
    </row>
    <row r="917">
      <c r="A917" s="56" t="s">
        <v>1819</v>
      </c>
      <c r="M917" s="56" t="s">
        <v>1431</v>
      </c>
    </row>
    <row r="918">
      <c r="A918" s="56" t="s">
        <v>1820</v>
      </c>
      <c r="M918" s="56" t="s">
        <v>1431</v>
      </c>
    </row>
    <row r="919">
      <c r="A919" s="56" t="s">
        <v>1821</v>
      </c>
      <c r="M919" s="56" t="s">
        <v>1431</v>
      </c>
    </row>
    <row r="920">
      <c r="A920" s="56" t="s">
        <v>932</v>
      </c>
      <c r="M920" s="56" t="s">
        <v>1431</v>
      </c>
    </row>
    <row r="921">
      <c r="M921" s="56" t="s">
        <v>1431</v>
      </c>
    </row>
    <row r="922">
      <c r="A922" s="56" t="s">
        <v>1822</v>
      </c>
    </row>
    <row r="923">
      <c r="A923" s="56" t="s">
        <v>1362</v>
      </c>
      <c r="M923" s="56" t="s">
        <v>1823</v>
      </c>
    </row>
    <row r="924">
      <c r="A924" s="56" t="s">
        <v>1688</v>
      </c>
      <c r="M924" s="56" t="s">
        <v>1824</v>
      </c>
    </row>
    <row r="925">
      <c r="A925" s="56" t="s">
        <v>1494</v>
      </c>
      <c r="M925" s="56" t="s">
        <v>1825</v>
      </c>
    </row>
    <row r="926">
      <c r="A926" s="56" t="s">
        <v>1419</v>
      </c>
      <c r="M926" s="56" t="s">
        <v>1826</v>
      </c>
    </row>
    <row r="927">
      <c r="A927" s="56" t="s">
        <v>932</v>
      </c>
    </row>
    <row r="928">
      <c r="M928" s="56" t="s">
        <v>1827</v>
      </c>
    </row>
    <row r="929">
      <c r="A929" s="56" t="s">
        <v>1828</v>
      </c>
      <c r="M929" s="56" t="s">
        <v>1829</v>
      </c>
    </row>
    <row r="930">
      <c r="A930" s="56" t="s">
        <v>972</v>
      </c>
      <c r="M930" s="56" t="s">
        <v>1830</v>
      </c>
    </row>
    <row r="931">
      <c r="A931" s="56" t="s">
        <v>981</v>
      </c>
      <c r="M931" s="56" t="s">
        <v>1829</v>
      </c>
    </row>
    <row r="932">
      <c r="A932" s="56" t="s">
        <v>1020</v>
      </c>
      <c r="M932" s="56" t="s">
        <v>1831</v>
      </c>
    </row>
    <row r="933">
      <c r="A933" s="56" t="s">
        <v>1832</v>
      </c>
      <c r="M933" s="56" t="s">
        <v>1833</v>
      </c>
    </row>
    <row r="934">
      <c r="A934" s="56" t="s">
        <v>1834</v>
      </c>
      <c r="M934" s="56" t="s">
        <v>1835</v>
      </c>
    </row>
    <row r="935">
      <c r="A935" s="56" t="s">
        <v>1836</v>
      </c>
      <c r="M935" s="56" t="s">
        <v>1837</v>
      </c>
    </row>
    <row r="936">
      <c r="A936" s="56" t="s">
        <v>932</v>
      </c>
      <c r="M936" s="56" t="s">
        <v>1838</v>
      </c>
    </row>
    <row r="937">
      <c r="M937" s="56" t="s">
        <v>1839</v>
      </c>
    </row>
    <row r="938">
      <c r="A938" s="56" t="s">
        <v>1840</v>
      </c>
      <c r="M938" s="56" t="s">
        <v>1841</v>
      </c>
    </row>
    <row r="939">
      <c r="A939" s="56" t="s">
        <v>1802</v>
      </c>
    </row>
    <row r="940">
      <c r="A940" s="56" t="s">
        <v>1036</v>
      </c>
      <c r="M940" s="56" t="s">
        <v>1842</v>
      </c>
    </row>
    <row r="941">
      <c r="A941" s="56" t="s">
        <v>1038</v>
      </c>
      <c r="M941" s="64" t="s">
        <v>1843</v>
      </c>
    </row>
    <row r="942">
      <c r="A942" s="56" t="s">
        <v>1844</v>
      </c>
      <c r="M942" s="64" t="s">
        <v>1845</v>
      </c>
    </row>
    <row r="943">
      <c r="A943" s="56" t="s">
        <v>1846</v>
      </c>
      <c r="M943" s="64" t="s">
        <v>1847</v>
      </c>
    </row>
    <row r="944">
      <c r="A944" s="56" t="s">
        <v>932</v>
      </c>
      <c r="M944" s="64" t="s">
        <v>1848</v>
      </c>
    </row>
    <row r="945">
      <c r="M945" s="64" t="s">
        <v>1849</v>
      </c>
    </row>
    <row r="946">
      <c r="A946" s="56" t="s">
        <v>1850</v>
      </c>
      <c r="M946" s="64" t="s">
        <v>1851</v>
      </c>
    </row>
    <row r="947">
      <c r="A947" s="56" t="s">
        <v>1044</v>
      </c>
      <c r="M947" s="64" t="s">
        <v>1852</v>
      </c>
    </row>
    <row r="948">
      <c r="A948" s="56" t="s">
        <v>1601</v>
      </c>
      <c r="M948" s="64" t="s">
        <v>1853</v>
      </c>
    </row>
    <row r="949">
      <c r="A949" s="56" t="s">
        <v>1036</v>
      </c>
      <c r="M949" s="56" t="s">
        <v>1854</v>
      </c>
    </row>
    <row r="950">
      <c r="A950" s="56" t="s">
        <v>1430</v>
      </c>
    </row>
    <row r="951">
      <c r="A951" s="56" t="s">
        <v>932</v>
      </c>
      <c r="M951" s="56" t="s">
        <v>1829</v>
      </c>
    </row>
    <row r="952">
      <c r="M952" s="56" t="s">
        <v>1855</v>
      </c>
    </row>
    <row r="953">
      <c r="A953" s="56" t="s">
        <v>1856</v>
      </c>
      <c r="M953" s="56" t="s">
        <v>1829</v>
      </c>
    </row>
    <row r="954">
      <c r="A954" s="56" t="s">
        <v>1044</v>
      </c>
      <c r="M954" s="56" t="s">
        <v>1857</v>
      </c>
    </row>
    <row r="955">
      <c r="A955" s="56" t="s">
        <v>1858</v>
      </c>
      <c r="M955" s="56" t="s">
        <v>1859</v>
      </c>
    </row>
    <row r="956">
      <c r="A956" s="56" t="s">
        <v>932</v>
      </c>
      <c r="M956" s="56" t="s">
        <v>1860</v>
      </c>
    </row>
    <row r="957">
      <c r="M957" s="56" t="s">
        <v>1861</v>
      </c>
    </row>
    <row r="958">
      <c r="A958" s="56" t="s">
        <v>1862</v>
      </c>
      <c r="M958" s="56" t="s">
        <v>1863</v>
      </c>
    </row>
    <row r="959">
      <c r="A959" s="56" t="s">
        <v>1044</v>
      </c>
      <c r="M959" s="56" t="s">
        <v>1864</v>
      </c>
    </row>
    <row r="960">
      <c r="A960" s="56" t="s">
        <v>1571</v>
      </c>
      <c r="M960" s="56" t="s">
        <v>1865</v>
      </c>
    </row>
    <row r="961">
      <c r="A961" s="56" t="s">
        <v>1834</v>
      </c>
      <c r="M961" s="56" t="s">
        <v>1866</v>
      </c>
    </row>
    <row r="962">
      <c r="A962" s="56" t="s">
        <v>1867</v>
      </c>
      <c r="M962" s="56" t="s">
        <v>1868</v>
      </c>
    </row>
    <row r="963">
      <c r="A963" s="56" t="s">
        <v>932</v>
      </c>
      <c r="M963" s="64" t="s">
        <v>1869</v>
      </c>
    </row>
    <row r="964">
      <c r="M964" s="56" t="s">
        <v>1870</v>
      </c>
    </row>
    <row r="965">
      <c r="A965" s="56" t="s">
        <v>1871</v>
      </c>
      <c r="M965" s="56" t="s">
        <v>1872</v>
      </c>
    </row>
    <row r="966">
      <c r="A966" s="56" t="s">
        <v>1873</v>
      </c>
      <c r="M966" s="56" t="s">
        <v>1874</v>
      </c>
    </row>
    <row r="967">
      <c r="A967" s="56" t="s">
        <v>932</v>
      </c>
      <c r="M967" s="56" t="s">
        <v>1875</v>
      </c>
    </row>
    <row r="968">
      <c r="M968" s="56" t="s">
        <v>1876</v>
      </c>
    </row>
    <row r="969">
      <c r="A969" s="56" t="s">
        <v>1877</v>
      </c>
      <c r="M969" s="56" t="s">
        <v>1878</v>
      </c>
    </row>
    <row r="970">
      <c r="A970" s="56" t="s">
        <v>1297</v>
      </c>
      <c r="M970" s="56" t="s">
        <v>932</v>
      </c>
    </row>
    <row r="971">
      <c r="A971" s="56" t="s">
        <v>1036</v>
      </c>
    </row>
    <row r="972">
      <c r="A972" s="56" t="s">
        <v>1304</v>
      </c>
      <c r="M972" s="56" t="s">
        <v>1829</v>
      </c>
    </row>
    <row r="973">
      <c r="A973" s="56" t="s">
        <v>932</v>
      </c>
      <c r="M973" s="56" t="s">
        <v>1879</v>
      </c>
    </row>
    <row r="974">
      <c r="M974" s="56" t="s">
        <v>1829</v>
      </c>
    </row>
    <row r="975">
      <c r="A975" s="56" t="s">
        <v>1880</v>
      </c>
      <c r="M975" s="56" t="s">
        <v>1881</v>
      </c>
    </row>
    <row r="976">
      <c r="A976" s="56" t="s">
        <v>1581</v>
      </c>
      <c r="M976" s="56" t="s">
        <v>1882</v>
      </c>
    </row>
    <row r="977">
      <c r="A977" s="56" t="s">
        <v>966</v>
      </c>
      <c r="M977" s="56" t="s">
        <v>1883</v>
      </c>
    </row>
    <row r="978">
      <c r="A978" s="56" t="s">
        <v>932</v>
      </c>
      <c r="M978" s="56" t="s">
        <v>932</v>
      </c>
    </row>
    <row r="980">
      <c r="A980" s="56" t="s">
        <v>1884</v>
      </c>
      <c r="M980" s="56" t="s">
        <v>1885</v>
      </c>
    </row>
    <row r="981">
      <c r="A981" s="56" t="s">
        <v>1886</v>
      </c>
      <c r="M981" s="56" t="s">
        <v>1887</v>
      </c>
    </row>
    <row r="982">
      <c r="A982" s="56" t="s">
        <v>932</v>
      </c>
      <c r="M982" s="56" t="s">
        <v>1888</v>
      </c>
    </row>
    <row r="983">
      <c r="M983" s="56" t="s">
        <v>1889</v>
      </c>
    </row>
    <row r="984">
      <c r="A984" s="56" t="s">
        <v>1890</v>
      </c>
      <c r="M984" s="56" t="s">
        <v>1891</v>
      </c>
    </row>
    <row r="985">
      <c r="A985" s="56" t="s">
        <v>1036</v>
      </c>
      <c r="M985" s="56" t="s">
        <v>1892</v>
      </c>
    </row>
    <row r="986">
      <c r="A986" s="56" t="s">
        <v>948</v>
      </c>
      <c r="M986" s="56" t="s">
        <v>1893</v>
      </c>
    </row>
    <row r="987">
      <c r="A987" s="56" t="s">
        <v>932</v>
      </c>
      <c r="M987" s="56" t="s">
        <v>1894</v>
      </c>
    </row>
    <row r="988">
      <c r="M988" s="56" t="s">
        <v>1895</v>
      </c>
    </row>
    <row r="989">
      <c r="A989" s="56" t="s">
        <v>1896</v>
      </c>
      <c r="M989" s="56" t="s">
        <v>1897</v>
      </c>
    </row>
    <row r="990">
      <c r="A990" s="56" t="s">
        <v>1297</v>
      </c>
      <c r="M990" s="56" t="s">
        <v>1898</v>
      </c>
    </row>
    <row r="991">
      <c r="A991" s="56" t="s">
        <v>932</v>
      </c>
      <c r="M991" s="56" t="s">
        <v>1899</v>
      </c>
    </row>
    <row r="992">
      <c r="M992" s="56" t="s">
        <v>1900</v>
      </c>
    </row>
    <row r="993">
      <c r="A993" s="56" t="s">
        <v>1901</v>
      </c>
      <c r="M993" s="56" t="s">
        <v>1902</v>
      </c>
    </row>
    <row r="994">
      <c r="A994" s="56" t="s">
        <v>1350</v>
      </c>
      <c r="M994" s="56" t="s">
        <v>1903</v>
      </c>
    </row>
    <row r="995">
      <c r="A995" s="56" t="s">
        <v>1904</v>
      </c>
      <c r="M995" s="56" t="s">
        <v>1905</v>
      </c>
    </row>
    <row r="996">
      <c r="A996" s="56" t="s">
        <v>1119</v>
      </c>
      <c r="M996" s="56" t="s">
        <v>1854</v>
      </c>
    </row>
    <row r="997">
      <c r="A997" s="56" t="s">
        <v>1275</v>
      </c>
      <c r="M997" s="56" t="s">
        <v>1906</v>
      </c>
    </row>
    <row r="998">
      <c r="A998" s="56" t="s">
        <v>972</v>
      </c>
      <c r="M998" s="56" t="s">
        <v>1907</v>
      </c>
    </row>
    <row r="999">
      <c r="A999" s="56" t="s">
        <v>1020</v>
      </c>
      <c r="M999" s="56" t="s">
        <v>1854</v>
      </c>
    </row>
    <row r="1000">
      <c r="A1000" s="56" t="s">
        <v>1043</v>
      </c>
      <c r="M1000" s="56" t="s">
        <v>1908</v>
      </c>
    </row>
    <row r="1001">
      <c r="A1001" s="56" t="s">
        <v>1342</v>
      </c>
      <c r="M1001" s="56" t="s">
        <v>1909</v>
      </c>
    </row>
    <row r="1002">
      <c r="A1002" s="56" t="s">
        <v>932</v>
      </c>
      <c r="M1002" s="56" t="s">
        <v>1910</v>
      </c>
    </row>
    <row r="1003">
      <c r="M1003" s="56" t="s">
        <v>932</v>
      </c>
    </row>
    <row r="1004">
      <c r="A1004" s="56" t="s">
        <v>1911</v>
      </c>
    </row>
    <row r="1005">
      <c r="A1005" s="56" t="s">
        <v>1375</v>
      </c>
      <c r="M1005" s="56" t="s">
        <v>1912</v>
      </c>
    </row>
    <row r="1006">
      <c r="A1006" s="56" t="s">
        <v>979</v>
      </c>
      <c r="M1006" s="56" t="s">
        <v>1913</v>
      </c>
    </row>
    <row r="1007">
      <c r="A1007" s="56" t="s">
        <v>1914</v>
      </c>
      <c r="M1007" s="56" t="s">
        <v>1915</v>
      </c>
    </row>
    <row r="1008">
      <c r="A1008" s="56" t="s">
        <v>1916</v>
      </c>
      <c r="M1008" s="56" t="s">
        <v>1917</v>
      </c>
    </row>
    <row r="1009">
      <c r="A1009" s="56" t="s">
        <v>932</v>
      </c>
      <c r="M1009" s="56" t="s">
        <v>1918</v>
      </c>
    </row>
    <row r="1010">
      <c r="M1010" s="56" t="s">
        <v>1919</v>
      </c>
    </row>
    <row r="1011">
      <c r="A1011" s="56" t="s">
        <v>1920</v>
      </c>
      <c r="M1011" s="56" t="s">
        <v>1921</v>
      </c>
    </row>
    <row r="1012">
      <c r="A1012" s="56" t="s">
        <v>1382</v>
      </c>
      <c r="M1012" s="56" t="s">
        <v>1922</v>
      </c>
    </row>
    <row r="1013">
      <c r="A1013" s="56" t="s">
        <v>1923</v>
      </c>
      <c r="M1013" s="56" t="s">
        <v>1924</v>
      </c>
    </row>
    <row r="1014">
      <c r="A1014" s="56" t="s">
        <v>1925</v>
      </c>
      <c r="M1014" s="56" t="s">
        <v>1926</v>
      </c>
    </row>
    <row r="1015">
      <c r="A1015" s="56" t="s">
        <v>1927</v>
      </c>
      <c r="M1015" s="56" t="s">
        <v>1928</v>
      </c>
    </row>
    <row r="1016">
      <c r="A1016" s="56" t="s">
        <v>1225</v>
      </c>
      <c r="M1016" s="56" t="s">
        <v>1929</v>
      </c>
    </row>
    <row r="1017">
      <c r="A1017" s="56" t="s">
        <v>1227</v>
      </c>
      <c r="M1017" s="56" t="s">
        <v>1930</v>
      </c>
    </row>
    <row r="1018">
      <c r="A1018" s="56" t="s">
        <v>1196</v>
      </c>
      <c r="M1018" s="56" t="s">
        <v>1931</v>
      </c>
    </row>
    <row r="1019">
      <c r="A1019" s="56" t="s">
        <v>1932</v>
      </c>
      <c r="M1019" s="56" t="s">
        <v>1933</v>
      </c>
    </row>
    <row r="1020">
      <c r="A1020" s="56" t="s">
        <v>932</v>
      </c>
      <c r="M1020" s="56" t="s">
        <v>1934</v>
      </c>
    </row>
    <row r="1021">
      <c r="M1021" s="56" t="s">
        <v>1935</v>
      </c>
    </row>
    <row r="1022">
      <c r="A1022" s="56" t="s">
        <v>1936</v>
      </c>
      <c r="M1022" s="56" t="s">
        <v>1937</v>
      </c>
    </row>
    <row r="1023">
      <c r="A1023" s="56" t="s">
        <v>1938</v>
      </c>
      <c r="M1023" s="56" t="s">
        <v>1939</v>
      </c>
    </row>
    <row r="1024">
      <c r="A1024" s="56" t="s">
        <v>932</v>
      </c>
      <c r="M1024" s="56" t="s">
        <v>932</v>
      </c>
    </row>
    <row r="1025">
      <c r="M1025" s="56" t="s">
        <v>1940</v>
      </c>
    </row>
    <row r="1026">
      <c r="A1026" s="56" t="s">
        <v>1941</v>
      </c>
      <c r="M1026" s="56" t="s">
        <v>1942</v>
      </c>
    </row>
    <row r="1027">
      <c r="A1027" s="56" t="s">
        <v>1904</v>
      </c>
      <c r="M1027" s="56" t="s">
        <v>1943</v>
      </c>
    </row>
    <row r="1028">
      <c r="A1028" s="56" t="s">
        <v>1614</v>
      </c>
      <c r="M1028" s="56" t="s">
        <v>1910</v>
      </c>
    </row>
    <row r="1029">
      <c r="A1029" s="56" t="s">
        <v>972</v>
      </c>
      <c r="M1029" s="56" t="s">
        <v>1944</v>
      </c>
    </row>
    <row r="1030">
      <c r="A1030" s="56" t="s">
        <v>1020</v>
      </c>
      <c r="M1030" s="56" t="s">
        <v>1945</v>
      </c>
    </row>
    <row r="1031">
      <c r="A1031" s="56" t="s">
        <v>1181</v>
      </c>
      <c r="M1031" s="56" t="s">
        <v>932</v>
      </c>
    </row>
    <row r="1032">
      <c r="A1032" s="56" t="s">
        <v>1074</v>
      </c>
      <c r="M1032" s="56" t="s">
        <v>1946</v>
      </c>
    </row>
    <row r="1033">
      <c r="A1033" s="56" t="s">
        <v>1342</v>
      </c>
      <c r="M1033" s="56" t="s">
        <v>1947</v>
      </c>
    </row>
    <row r="1034">
      <c r="A1034" s="56" t="s">
        <v>1275</v>
      </c>
      <c r="M1034" s="56" t="s">
        <v>1948</v>
      </c>
    </row>
    <row r="1035">
      <c r="A1035" s="56" t="s">
        <v>932</v>
      </c>
      <c r="M1035" s="56" t="s">
        <v>1949</v>
      </c>
    </row>
    <row r="1036">
      <c r="M1036" s="56" t="s">
        <v>1950</v>
      </c>
    </row>
    <row r="1037">
      <c r="A1037" s="56" t="s">
        <v>1951</v>
      </c>
      <c r="M1037" s="56" t="s">
        <v>1952</v>
      </c>
    </row>
    <row r="1038">
      <c r="A1038" s="56" t="s">
        <v>1044</v>
      </c>
      <c r="M1038" s="56" t="s">
        <v>1953</v>
      </c>
    </row>
    <row r="1039">
      <c r="A1039" s="56" t="s">
        <v>1052</v>
      </c>
      <c r="M1039" s="56" t="s">
        <v>1910</v>
      </c>
    </row>
    <row r="1040">
      <c r="A1040" s="56" t="s">
        <v>1196</v>
      </c>
      <c r="M1040" s="56" t="s">
        <v>1954</v>
      </c>
    </row>
    <row r="1041">
      <c r="A1041" s="56" t="s">
        <v>932</v>
      </c>
      <c r="M1041" s="56" t="s">
        <v>1955</v>
      </c>
    </row>
    <row r="1042">
      <c r="M1042" s="56" t="s">
        <v>1910</v>
      </c>
    </row>
    <row r="1043">
      <c r="A1043" s="56" t="s">
        <v>1956</v>
      </c>
      <c r="M1043" s="56" t="s">
        <v>1854</v>
      </c>
    </row>
    <row r="1044">
      <c r="A1044" s="56" t="s">
        <v>972</v>
      </c>
      <c r="M1044" s="56" t="s">
        <v>1957</v>
      </c>
    </row>
    <row r="1045">
      <c r="A1045" s="56" t="s">
        <v>1958</v>
      </c>
      <c r="M1045" s="56" t="s">
        <v>932</v>
      </c>
    </row>
    <row r="1046">
      <c r="A1046" s="56" t="s">
        <v>1020</v>
      </c>
    </row>
    <row r="1047">
      <c r="A1047" s="56" t="s">
        <v>932</v>
      </c>
      <c r="M1047" s="56" t="s">
        <v>1959</v>
      </c>
    </row>
    <row r="1048">
      <c r="M1048" s="56" t="s">
        <v>1960</v>
      </c>
    </row>
    <row r="1049">
      <c r="A1049" s="56" t="s">
        <v>1961</v>
      </c>
      <c r="M1049" s="56" t="s">
        <v>1929</v>
      </c>
    </row>
    <row r="1050">
      <c r="A1050" s="56" t="s">
        <v>1171</v>
      </c>
      <c r="M1050" s="56" t="s">
        <v>1930</v>
      </c>
    </row>
    <row r="1051">
      <c r="A1051" s="56" t="s">
        <v>1172</v>
      </c>
      <c r="M1051" s="56" t="s">
        <v>1931</v>
      </c>
    </row>
    <row r="1052">
      <c r="A1052" s="56" t="s">
        <v>951</v>
      </c>
      <c r="M1052" s="56" t="s">
        <v>1962</v>
      </c>
    </row>
    <row r="1053">
      <c r="A1053" s="56" t="s">
        <v>1325</v>
      </c>
      <c r="M1053" s="56" t="s">
        <v>1963</v>
      </c>
    </row>
    <row r="1054">
      <c r="A1054" s="56" t="s">
        <v>1060</v>
      </c>
      <c r="M1054" s="56" t="s">
        <v>1944</v>
      </c>
    </row>
    <row r="1055">
      <c r="A1055" s="56" t="s">
        <v>1061</v>
      </c>
      <c r="M1055" s="56" t="s">
        <v>1964</v>
      </c>
    </row>
    <row r="1056">
      <c r="A1056" s="56" t="s">
        <v>1326</v>
      </c>
      <c r="M1056" s="56" t="s">
        <v>932</v>
      </c>
    </row>
    <row r="1057">
      <c r="A1057" s="56" t="s">
        <v>1044</v>
      </c>
      <c r="M1057" s="56" t="s">
        <v>1946</v>
      </c>
    </row>
    <row r="1058">
      <c r="A1058" s="56" t="s">
        <v>932</v>
      </c>
      <c r="M1058" s="56" t="s">
        <v>1947</v>
      </c>
    </row>
    <row r="1059">
      <c r="M1059" s="56" t="s">
        <v>1965</v>
      </c>
    </row>
    <row r="1060">
      <c r="A1060" s="56" t="s">
        <v>1966</v>
      </c>
      <c r="M1060" s="56" t="s">
        <v>932</v>
      </c>
    </row>
    <row r="1061">
      <c r="A1061" s="56" t="s">
        <v>1275</v>
      </c>
    </row>
    <row r="1062">
      <c r="A1062" s="56" t="s">
        <v>932</v>
      </c>
      <c r="M1062" s="56" t="s">
        <v>1829</v>
      </c>
    </row>
    <row r="1063">
      <c r="M1063" s="56" t="s">
        <v>1967</v>
      </c>
    </row>
    <row r="1064">
      <c r="A1064" s="56" t="s">
        <v>1968</v>
      </c>
      <c r="M1064" s="56" t="s">
        <v>1829</v>
      </c>
    </row>
    <row r="1065">
      <c r="A1065" s="56" t="s">
        <v>1234</v>
      </c>
      <c r="M1065" s="56" t="s">
        <v>1969</v>
      </c>
    </row>
    <row r="1066">
      <c r="A1066" s="56" t="s">
        <v>1018</v>
      </c>
      <c r="M1066" s="56" t="s">
        <v>1970</v>
      </c>
    </row>
    <row r="1067">
      <c r="A1067" s="56" t="s">
        <v>1236</v>
      </c>
      <c r="M1067" s="56" t="s">
        <v>1971</v>
      </c>
    </row>
    <row r="1068">
      <c r="A1068" s="56" t="s">
        <v>932</v>
      </c>
      <c r="M1068" s="56" t="s">
        <v>1972</v>
      </c>
    </row>
    <row r="1069">
      <c r="M1069" s="56" t="s">
        <v>1973</v>
      </c>
    </row>
    <row r="1070">
      <c r="A1070" s="56" t="s">
        <v>1974</v>
      </c>
      <c r="M1070" s="56" t="s">
        <v>1975</v>
      </c>
    </row>
    <row r="1071">
      <c r="A1071" s="56" t="s">
        <v>1169</v>
      </c>
      <c r="M1071" s="56" t="s">
        <v>1976</v>
      </c>
    </row>
    <row r="1072">
      <c r="A1072" s="56" t="s">
        <v>1247</v>
      </c>
      <c r="M1072" s="56" t="s">
        <v>1977</v>
      </c>
    </row>
    <row r="1073">
      <c r="A1073" s="56" t="s">
        <v>932</v>
      </c>
      <c r="M1073" s="56" t="s">
        <v>932</v>
      </c>
    </row>
    <row r="1074">
      <c r="M1074" s="56" t="s">
        <v>1910</v>
      </c>
    </row>
    <row r="1075">
      <c r="A1075" s="56" t="s">
        <v>1978</v>
      </c>
      <c r="M1075" s="56" t="s">
        <v>1979</v>
      </c>
    </row>
    <row r="1076">
      <c r="A1076" s="56" t="s">
        <v>1980</v>
      </c>
      <c r="M1076" s="56" t="s">
        <v>1981</v>
      </c>
    </row>
    <row r="1077">
      <c r="A1077" s="56" t="s">
        <v>1171</v>
      </c>
      <c r="M1077" s="56" t="s">
        <v>1982</v>
      </c>
    </row>
    <row r="1078">
      <c r="A1078" s="56" t="s">
        <v>1172</v>
      </c>
    </row>
    <row r="1079">
      <c r="A1079" s="56" t="s">
        <v>1060</v>
      </c>
      <c r="M1079" s="56" t="s">
        <v>1983</v>
      </c>
    </row>
    <row r="1080">
      <c r="A1080" s="56" t="s">
        <v>1419</v>
      </c>
      <c r="M1080" s="56" t="s">
        <v>1984</v>
      </c>
    </row>
    <row r="1081">
      <c r="A1081" s="56" t="s">
        <v>1006</v>
      </c>
    </row>
    <row r="1082">
      <c r="A1082" s="56" t="s">
        <v>932</v>
      </c>
      <c r="M1082" s="56" t="s">
        <v>1985</v>
      </c>
    </row>
    <row r="1083">
      <c r="M1083" s="56" t="s">
        <v>1986</v>
      </c>
    </row>
    <row r="1084">
      <c r="A1084" s="56" t="s">
        <v>1987</v>
      </c>
      <c r="M1084" s="56" t="s">
        <v>1988</v>
      </c>
    </row>
    <row r="1085">
      <c r="A1085" s="56" t="s">
        <v>1362</v>
      </c>
      <c r="M1085" s="56" t="s">
        <v>1989</v>
      </c>
    </row>
    <row r="1086">
      <c r="A1086" s="56" t="s">
        <v>1990</v>
      </c>
      <c r="M1086" s="56" t="s">
        <v>1991</v>
      </c>
    </row>
    <row r="1087">
      <c r="A1087" s="56" t="s">
        <v>1074</v>
      </c>
      <c r="M1087" s="56" t="s">
        <v>1992</v>
      </c>
    </row>
    <row r="1088">
      <c r="A1088" s="56" t="s">
        <v>1020</v>
      </c>
      <c r="M1088" s="56" t="s">
        <v>1993</v>
      </c>
    </row>
    <row r="1089">
      <c r="A1089" s="56" t="s">
        <v>1059</v>
      </c>
    </row>
    <row r="1090">
      <c r="A1090" s="56" t="s">
        <v>1061</v>
      </c>
      <c r="M1090" s="56" t="s">
        <v>1994</v>
      </c>
    </row>
    <row r="1091">
      <c r="A1091" s="56" t="s">
        <v>932</v>
      </c>
      <c r="M1091" s="56" t="s">
        <v>1995</v>
      </c>
    </row>
    <row r="1092">
      <c r="M1092" s="56" t="s">
        <v>932</v>
      </c>
    </row>
    <row r="1093">
      <c r="A1093" s="56" t="s">
        <v>1996</v>
      </c>
    </row>
    <row r="1094">
      <c r="A1094" s="56" t="s">
        <v>1275</v>
      </c>
      <c r="M1094" s="56" t="s">
        <v>1829</v>
      </c>
    </row>
    <row r="1095">
      <c r="A1095" s="56" t="s">
        <v>932</v>
      </c>
      <c r="M1095" s="56" t="s">
        <v>1997</v>
      </c>
    </row>
    <row r="1096">
      <c r="M1096" s="56" t="s">
        <v>1829</v>
      </c>
    </row>
    <row r="1097">
      <c r="A1097" s="56" t="s">
        <v>1998</v>
      </c>
      <c r="M1097" s="56" t="s">
        <v>1999</v>
      </c>
    </row>
    <row r="1098">
      <c r="A1098" s="56" t="s">
        <v>1044</v>
      </c>
      <c r="M1098" s="56" t="s">
        <v>2000</v>
      </c>
    </row>
    <row r="1099">
      <c r="A1099" s="56" t="s">
        <v>1052</v>
      </c>
      <c r="M1099" s="56" t="s">
        <v>2001</v>
      </c>
    </row>
    <row r="1100">
      <c r="A1100" s="56" t="s">
        <v>966</v>
      </c>
      <c r="M1100" s="56" t="s">
        <v>2002</v>
      </c>
    </row>
    <row r="1101">
      <c r="A1101" s="56" t="s">
        <v>1659</v>
      </c>
      <c r="M1101" s="56" t="s">
        <v>2003</v>
      </c>
    </row>
    <row r="1102">
      <c r="A1102" s="56" t="s">
        <v>932</v>
      </c>
      <c r="M1102" s="56" t="s">
        <v>2004</v>
      </c>
    </row>
    <row r="1103">
      <c r="M1103" s="56" t="s">
        <v>2005</v>
      </c>
    </row>
    <row r="1104">
      <c r="A1104" s="56" t="s">
        <v>2006</v>
      </c>
      <c r="M1104" s="56" t="s">
        <v>932</v>
      </c>
    </row>
    <row r="1105">
      <c r="A1105" s="56" t="s">
        <v>1044</v>
      </c>
      <c r="M1105" s="56" t="s">
        <v>1929</v>
      </c>
    </row>
    <row r="1106">
      <c r="A1106" s="56" t="s">
        <v>1052</v>
      </c>
      <c r="M1106" s="56" t="s">
        <v>2007</v>
      </c>
    </row>
    <row r="1107">
      <c r="A1107" s="56" t="s">
        <v>1196</v>
      </c>
      <c r="M1107" s="56" t="s">
        <v>2008</v>
      </c>
    </row>
    <row r="1108">
      <c r="A1108" s="56" t="s">
        <v>932</v>
      </c>
      <c r="M1108" s="56" t="s">
        <v>2009</v>
      </c>
    </row>
    <row r="1109">
      <c r="M1109" s="56" t="s">
        <v>1910</v>
      </c>
    </row>
    <row r="1110">
      <c r="A1110" s="56" t="s">
        <v>2010</v>
      </c>
    </row>
    <row r="1111">
      <c r="A1111" s="56" t="s">
        <v>1064</v>
      </c>
      <c r="M1111" s="56" t="s">
        <v>2011</v>
      </c>
    </row>
    <row r="1112">
      <c r="A1112" s="56" t="s">
        <v>1063</v>
      </c>
      <c r="M1112" s="56" t="s">
        <v>2012</v>
      </c>
    </row>
    <row r="1113">
      <c r="A1113" s="56" t="s">
        <v>932</v>
      </c>
      <c r="M1113" s="56" t="s">
        <v>2013</v>
      </c>
    </row>
    <row r="1114">
      <c r="M1114" s="56" t="s">
        <v>2014</v>
      </c>
    </row>
    <row r="1115">
      <c r="A1115" s="56" t="s">
        <v>2015</v>
      </c>
    </row>
    <row r="1116">
      <c r="A1116" s="56" t="s">
        <v>1052</v>
      </c>
      <c r="M1116" s="56" t="s">
        <v>2016</v>
      </c>
    </row>
    <row r="1117">
      <c r="A1117" s="56" t="s">
        <v>1196</v>
      </c>
      <c r="M1117" s="56" t="s">
        <v>2017</v>
      </c>
    </row>
    <row r="1118">
      <c r="A1118" s="56" t="s">
        <v>1044</v>
      </c>
      <c r="M1118" s="56" t="s">
        <v>2018</v>
      </c>
    </row>
    <row r="1119">
      <c r="A1119" s="56" t="s">
        <v>932</v>
      </c>
      <c r="M1119" s="56" t="s">
        <v>2019</v>
      </c>
    </row>
    <row r="1121">
      <c r="A1121" s="56" t="s">
        <v>2020</v>
      </c>
      <c r="M1121" s="56" t="s">
        <v>2021</v>
      </c>
    </row>
    <row r="1122">
      <c r="A1122" s="56" t="s">
        <v>1044</v>
      </c>
      <c r="M1122" s="56" t="s">
        <v>2022</v>
      </c>
    </row>
    <row r="1123">
      <c r="A1123" s="56" t="s">
        <v>1036</v>
      </c>
      <c r="M1123" s="56" t="s">
        <v>2023</v>
      </c>
    </row>
    <row r="1124">
      <c r="A1124" s="56" t="s">
        <v>948</v>
      </c>
      <c r="M1124" s="56" t="s">
        <v>2024</v>
      </c>
    </row>
    <row r="1125">
      <c r="A1125" s="56" t="s">
        <v>2025</v>
      </c>
    </row>
    <row r="1126">
      <c r="A1126" s="56" t="s">
        <v>932</v>
      </c>
      <c r="M1126" s="56" t="s">
        <v>2026</v>
      </c>
    </row>
    <row r="1127">
      <c r="M1127" s="56" t="s">
        <v>2027</v>
      </c>
    </row>
    <row r="1128">
      <c r="A1128" s="56" t="s">
        <v>2028</v>
      </c>
      <c r="M1128" s="56" t="s">
        <v>2004</v>
      </c>
    </row>
    <row r="1129">
      <c r="A1129" s="56" t="s">
        <v>1614</v>
      </c>
      <c r="M1129" s="56" t="s">
        <v>932</v>
      </c>
    </row>
    <row r="1130">
      <c r="A1130" s="56" t="s">
        <v>1275</v>
      </c>
    </row>
    <row r="1131">
      <c r="A1131" s="56" t="s">
        <v>2029</v>
      </c>
      <c r="M1131" s="56" t="s">
        <v>1829</v>
      </c>
    </row>
    <row r="1132">
      <c r="A1132" s="56" t="s">
        <v>2030</v>
      </c>
      <c r="M1132" s="56" t="s">
        <v>2031</v>
      </c>
    </row>
    <row r="1133">
      <c r="A1133" s="56" t="s">
        <v>932</v>
      </c>
      <c r="M1133" s="56" t="s">
        <v>1829</v>
      </c>
    </row>
    <row r="1134">
      <c r="M1134" s="56" t="s">
        <v>2032</v>
      </c>
    </row>
    <row r="1135">
      <c r="A1135" s="56" t="s">
        <v>2033</v>
      </c>
      <c r="M1135" s="56" t="s">
        <v>1929</v>
      </c>
    </row>
    <row r="1136">
      <c r="A1136" s="56" t="s">
        <v>1733</v>
      </c>
      <c r="M1136" s="56" t="s">
        <v>2034</v>
      </c>
    </row>
    <row r="1137">
      <c r="A1137" s="56" t="s">
        <v>932</v>
      </c>
      <c r="M1137" s="56" t="s">
        <v>2035</v>
      </c>
    </row>
    <row r="1138">
      <c r="M1138" s="56" t="s">
        <v>2036</v>
      </c>
    </row>
    <row r="1139">
      <c r="A1139" s="56" t="s">
        <v>2037</v>
      </c>
      <c r="M1139" s="56" t="s">
        <v>932</v>
      </c>
    </row>
    <row r="1140">
      <c r="A1140" s="56" t="s">
        <v>2038</v>
      </c>
      <c r="M1140" s="56" t="s">
        <v>2039</v>
      </c>
    </row>
    <row r="1141">
      <c r="A1141" s="56" t="s">
        <v>932</v>
      </c>
      <c r="M1141" s="56" t="s">
        <v>2040</v>
      </c>
    </row>
    <row r="1142">
      <c r="M1142" s="56" t="s">
        <v>2041</v>
      </c>
    </row>
    <row r="1143">
      <c r="A1143" s="56" t="s">
        <v>2042</v>
      </c>
      <c r="M1143" s="56" t="s">
        <v>932</v>
      </c>
    </row>
    <row r="1144">
      <c r="A1144" s="56" t="s">
        <v>1008</v>
      </c>
    </row>
    <row r="1145">
      <c r="A1145" s="56" t="s">
        <v>1196</v>
      </c>
      <c r="M1145" s="56" t="s">
        <v>1829</v>
      </c>
    </row>
    <row r="1146">
      <c r="A1146" s="56" t="s">
        <v>932</v>
      </c>
      <c r="M1146" s="56" t="s">
        <v>2043</v>
      </c>
    </row>
    <row r="1147">
      <c r="M1147" s="56" t="s">
        <v>1829</v>
      </c>
    </row>
    <row r="1148">
      <c r="A1148" s="56" t="s">
        <v>2044</v>
      </c>
      <c r="M1148" s="56" t="s">
        <v>2045</v>
      </c>
    </row>
    <row r="1149">
      <c r="A1149" s="56" t="s">
        <v>1362</v>
      </c>
      <c r="M1149" s="56" t="s">
        <v>2046</v>
      </c>
    </row>
    <row r="1150">
      <c r="A1150" s="56" t="s">
        <v>2047</v>
      </c>
      <c r="M1150" s="56" t="s">
        <v>2048</v>
      </c>
    </row>
    <row r="1151">
      <c r="A1151" s="56" t="s">
        <v>1043</v>
      </c>
      <c r="M1151" s="56" t="s">
        <v>932</v>
      </c>
    </row>
    <row r="1152">
      <c r="A1152" s="56" t="s">
        <v>2049</v>
      </c>
      <c r="M1152" s="56" t="s">
        <v>2050</v>
      </c>
    </row>
    <row r="1153">
      <c r="A1153" s="56" t="s">
        <v>1326</v>
      </c>
      <c r="M1153" s="56" t="s">
        <v>2051</v>
      </c>
    </row>
    <row r="1154">
      <c r="A1154" s="56" t="s">
        <v>2052</v>
      </c>
      <c r="M1154" s="56" t="s">
        <v>2053</v>
      </c>
    </row>
    <row r="1155">
      <c r="A1155" s="56" t="s">
        <v>932</v>
      </c>
      <c r="M1155" s="56" t="s">
        <v>2054</v>
      </c>
    </row>
    <row r="1156">
      <c r="M1156" s="56" t="s">
        <v>2055</v>
      </c>
    </row>
    <row r="1157">
      <c r="A1157" s="56" t="s">
        <v>2056</v>
      </c>
      <c r="M1157" s="56" t="s">
        <v>2057</v>
      </c>
    </row>
    <row r="1158">
      <c r="A1158" s="56" t="s">
        <v>1677</v>
      </c>
      <c r="M1158" s="56" t="s">
        <v>2058</v>
      </c>
    </row>
    <row r="1159">
      <c r="A1159" s="56" t="s">
        <v>932</v>
      </c>
      <c r="M1159" s="56" t="s">
        <v>2059</v>
      </c>
    </row>
    <row r="1160">
      <c r="M1160" s="56" t="s">
        <v>2060</v>
      </c>
    </row>
    <row r="1161">
      <c r="A1161" s="56" t="s">
        <v>2061</v>
      </c>
      <c r="M1161" s="56" t="s">
        <v>2062</v>
      </c>
    </row>
    <row r="1162">
      <c r="A1162" s="56" t="s">
        <v>972</v>
      </c>
      <c r="M1162" s="56" t="s">
        <v>2063</v>
      </c>
    </row>
    <row r="1163">
      <c r="A1163" s="56" t="s">
        <v>1365</v>
      </c>
      <c r="M1163" s="56" t="s">
        <v>2064</v>
      </c>
    </row>
    <row r="1164">
      <c r="A1164" s="56" t="s">
        <v>2065</v>
      </c>
      <c r="M1164" s="56" t="s">
        <v>2066</v>
      </c>
    </row>
    <row r="1165">
      <c r="A1165" s="56" t="s">
        <v>1052</v>
      </c>
      <c r="M1165" s="56" t="s">
        <v>2067</v>
      </c>
    </row>
    <row r="1166">
      <c r="A1166" s="56" t="s">
        <v>1196</v>
      </c>
      <c r="M1166" s="56" t="s">
        <v>2068</v>
      </c>
    </row>
    <row r="1167">
      <c r="A1167" s="56" t="s">
        <v>1342</v>
      </c>
      <c r="M1167" s="56" t="s">
        <v>2069</v>
      </c>
    </row>
    <row r="1168">
      <c r="A1168" s="56" t="s">
        <v>932</v>
      </c>
      <c r="M1168" s="56" t="s">
        <v>1431</v>
      </c>
    </row>
    <row r="1169">
      <c r="M1169" s="56" t="s">
        <v>2070</v>
      </c>
    </row>
    <row r="1170">
      <c r="A1170" s="56" t="s">
        <v>2071</v>
      </c>
      <c r="M1170" s="56" t="s">
        <v>2072</v>
      </c>
    </row>
    <row r="1171">
      <c r="A1171" s="56" t="s">
        <v>1044</v>
      </c>
      <c r="M1171" s="56" t="s">
        <v>2073</v>
      </c>
    </row>
    <row r="1172">
      <c r="A1172" s="56" t="s">
        <v>1038</v>
      </c>
      <c r="M1172" s="56" t="s">
        <v>2074</v>
      </c>
    </row>
    <row r="1173">
      <c r="A1173" s="56" t="s">
        <v>1844</v>
      </c>
      <c r="M1173" s="56" t="s">
        <v>1628</v>
      </c>
    </row>
    <row r="1174">
      <c r="A1174" s="56" t="s">
        <v>932</v>
      </c>
      <c r="M1174" s="56" t="s">
        <v>1431</v>
      </c>
    </row>
    <row r="1175">
      <c r="M1175" s="56" t="s">
        <v>2075</v>
      </c>
    </row>
    <row r="1176">
      <c r="A1176" s="56" t="s">
        <v>1299</v>
      </c>
      <c r="M1176" s="56" t="s">
        <v>2076</v>
      </c>
    </row>
    <row r="1177">
      <c r="A1177" s="56" t="s">
        <v>1300</v>
      </c>
      <c r="M1177" s="56" t="s">
        <v>2077</v>
      </c>
    </row>
    <row r="1178">
      <c r="A1178" s="56" t="s">
        <v>1216</v>
      </c>
      <c r="M1178" s="56" t="s">
        <v>1431</v>
      </c>
    </row>
    <row r="1179">
      <c r="A1179" s="56" t="s">
        <v>1020</v>
      </c>
      <c r="M1179" s="56" t="s">
        <v>2078</v>
      </c>
    </row>
    <row r="1180">
      <c r="A1180" s="56" t="s">
        <v>1044</v>
      </c>
      <c r="M1180" s="56" t="s">
        <v>2079</v>
      </c>
    </row>
    <row r="1181">
      <c r="A1181" s="56" t="s">
        <v>1035</v>
      </c>
      <c r="M1181" s="56" t="s">
        <v>2080</v>
      </c>
    </row>
    <row r="1182">
      <c r="A1182" s="56" t="s">
        <v>966</v>
      </c>
      <c r="M1182" s="56" t="s">
        <v>2081</v>
      </c>
    </row>
    <row r="1183">
      <c r="A1183" s="56" t="s">
        <v>1038</v>
      </c>
      <c r="M1183" s="56" t="s">
        <v>2082</v>
      </c>
    </row>
    <row r="1184">
      <c r="A1184" s="56" t="s">
        <v>1844</v>
      </c>
      <c r="M1184" s="56" t="s">
        <v>2083</v>
      </c>
    </row>
    <row r="1185">
      <c r="A1185" s="56" t="s">
        <v>2084</v>
      </c>
      <c r="M1185" s="56" t="s">
        <v>2085</v>
      </c>
    </row>
    <row r="1186">
      <c r="A1186" s="56" t="s">
        <v>1060</v>
      </c>
      <c r="M1186" s="56" t="s">
        <v>932</v>
      </c>
    </row>
    <row r="1187">
      <c r="A1187" s="56" t="s">
        <v>2086</v>
      </c>
      <c r="M1187" s="56" t="s">
        <v>2087</v>
      </c>
    </row>
    <row r="1188">
      <c r="A1188" s="56" t="s">
        <v>932</v>
      </c>
      <c r="M1188" s="56" t="s">
        <v>2088</v>
      </c>
    </row>
    <row r="1189">
      <c r="M1189" s="56" t="s">
        <v>2089</v>
      </c>
    </row>
    <row r="1190">
      <c r="A1190" s="56" t="s">
        <v>2090</v>
      </c>
      <c r="M1190" s="56" t="s">
        <v>2091</v>
      </c>
    </row>
    <row r="1191">
      <c r="A1191" s="56" t="s">
        <v>1275</v>
      </c>
      <c r="M1191" s="56" t="s">
        <v>2026</v>
      </c>
    </row>
    <row r="1192">
      <c r="A1192" s="56" t="s">
        <v>1886</v>
      </c>
      <c r="M1192" s="56" t="s">
        <v>2092</v>
      </c>
    </row>
    <row r="1193">
      <c r="A1193" s="56" t="s">
        <v>1271</v>
      </c>
      <c r="M1193" s="56" t="s">
        <v>932</v>
      </c>
    </row>
    <row r="1194">
      <c r="A1194" s="56" t="s">
        <v>932</v>
      </c>
      <c r="M1194" s="56" t="s">
        <v>2093</v>
      </c>
    </row>
    <row r="1195">
      <c r="M1195" s="56" t="s">
        <v>2094</v>
      </c>
    </row>
    <row r="1196">
      <c r="A1196" s="56" t="s">
        <v>2095</v>
      </c>
      <c r="M1196" s="56" t="s">
        <v>2096</v>
      </c>
    </row>
    <row r="1197">
      <c r="A1197" s="56" t="s">
        <v>2097</v>
      </c>
      <c r="M1197" s="56" t="s">
        <v>2098</v>
      </c>
    </row>
    <row r="1198">
      <c r="A1198" s="56" t="s">
        <v>1448</v>
      </c>
      <c r="M1198" s="56" t="s">
        <v>2099</v>
      </c>
    </row>
    <row r="1199">
      <c r="A1199" s="56" t="s">
        <v>1255</v>
      </c>
      <c r="M1199" s="56" t="s">
        <v>2100</v>
      </c>
    </row>
    <row r="1200">
      <c r="A1200" s="56" t="s">
        <v>932</v>
      </c>
      <c r="M1200" s="56" t="s">
        <v>2101</v>
      </c>
    </row>
    <row r="1201">
      <c r="M1201" s="56" t="s">
        <v>2102</v>
      </c>
    </row>
    <row r="1202">
      <c r="A1202" s="56" t="s">
        <v>2103</v>
      </c>
      <c r="M1202" s="56" t="s">
        <v>2104</v>
      </c>
    </row>
    <row r="1203">
      <c r="A1203" s="56" t="s">
        <v>2105</v>
      </c>
      <c r="M1203" s="56" t="s">
        <v>2106</v>
      </c>
    </row>
    <row r="1204">
      <c r="A1204" s="56" t="s">
        <v>2107</v>
      </c>
    </row>
    <row r="1205">
      <c r="A1205" s="56" t="s">
        <v>2108</v>
      </c>
      <c r="M1205" s="56" t="s">
        <v>2109</v>
      </c>
    </row>
    <row r="1206">
      <c r="A1206" s="56" t="s">
        <v>932</v>
      </c>
      <c r="M1206" s="56" t="s">
        <v>1929</v>
      </c>
    </row>
    <row r="1207">
      <c r="M1207" s="56" t="s">
        <v>2110</v>
      </c>
    </row>
    <row r="1208">
      <c r="A1208" s="56" t="s">
        <v>2111</v>
      </c>
      <c r="M1208" s="56" t="s">
        <v>2112</v>
      </c>
    </row>
    <row r="1209">
      <c r="A1209" s="56" t="s">
        <v>2113</v>
      </c>
      <c r="M1209" s="56" t="s">
        <v>2114</v>
      </c>
    </row>
    <row r="1210">
      <c r="A1210" s="56" t="s">
        <v>1659</v>
      </c>
      <c r="M1210" s="56" t="s">
        <v>2115</v>
      </c>
    </row>
    <row r="1211">
      <c r="A1211" s="56" t="s">
        <v>1526</v>
      </c>
      <c r="M1211" s="56" t="s">
        <v>1946</v>
      </c>
    </row>
    <row r="1212">
      <c r="A1212" s="56" t="s">
        <v>932</v>
      </c>
      <c r="M1212" s="56" t="s">
        <v>2116</v>
      </c>
    </row>
    <row r="1213">
      <c r="M1213" s="56" t="s">
        <v>2117</v>
      </c>
    </row>
    <row r="1214">
      <c r="A1214" s="56" t="s">
        <v>2118</v>
      </c>
      <c r="M1214" s="56" t="s">
        <v>2119</v>
      </c>
    </row>
    <row r="1215">
      <c r="A1215" s="56" t="s">
        <v>1280</v>
      </c>
      <c r="M1215" s="56" t="s">
        <v>2120</v>
      </c>
    </row>
    <row r="1216">
      <c r="A1216" s="56" t="s">
        <v>1018</v>
      </c>
      <c r="M1216" s="56" t="s">
        <v>932</v>
      </c>
    </row>
    <row r="1217">
      <c r="A1217" s="56" t="s">
        <v>2108</v>
      </c>
    </row>
    <row r="1218">
      <c r="A1218" s="56" t="s">
        <v>932</v>
      </c>
      <c r="M1218" s="56" t="s">
        <v>1829</v>
      </c>
    </row>
    <row r="1219">
      <c r="M1219" s="56" t="s">
        <v>2121</v>
      </c>
    </row>
    <row r="1220">
      <c r="A1220" s="56" t="s">
        <v>2122</v>
      </c>
      <c r="M1220" s="56" t="s">
        <v>1829</v>
      </c>
    </row>
    <row r="1221">
      <c r="A1221" s="56" t="s">
        <v>1275</v>
      </c>
      <c r="M1221" s="56" t="s">
        <v>2123</v>
      </c>
    </row>
    <row r="1222">
      <c r="A1222" s="56" t="s">
        <v>1196</v>
      </c>
      <c r="M1222" s="56" t="s">
        <v>2124</v>
      </c>
    </row>
    <row r="1223">
      <c r="A1223" s="56" t="s">
        <v>1271</v>
      </c>
      <c r="M1223" s="56" t="s">
        <v>2125</v>
      </c>
    </row>
    <row r="1224">
      <c r="A1224" s="56" t="s">
        <v>932</v>
      </c>
      <c r="M1224" s="56" t="s">
        <v>1929</v>
      </c>
    </row>
    <row r="1225">
      <c r="M1225" s="56" t="s">
        <v>2126</v>
      </c>
    </row>
    <row r="1226">
      <c r="A1226" s="56" t="s">
        <v>2127</v>
      </c>
      <c r="M1226" s="56" t="s">
        <v>2128</v>
      </c>
    </row>
    <row r="1227">
      <c r="A1227" s="56" t="s">
        <v>1304</v>
      </c>
      <c r="M1227" s="56" t="s">
        <v>2129</v>
      </c>
    </row>
    <row r="1228">
      <c r="A1228" s="56" t="s">
        <v>1297</v>
      </c>
      <c r="M1228" s="56" t="s">
        <v>2130</v>
      </c>
    </row>
    <row r="1229">
      <c r="A1229" s="56" t="s">
        <v>1298</v>
      </c>
      <c r="M1229" s="56" t="s">
        <v>1946</v>
      </c>
    </row>
    <row r="1230">
      <c r="A1230" s="56" t="s">
        <v>932</v>
      </c>
      <c r="M1230" s="56" t="s">
        <v>2131</v>
      </c>
    </row>
    <row r="1231">
      <c r="M1231" s="56" t="s">
        <v>2132</v>
      </c>
    </row>
    <row r="1232">
      <c r="A1232" s="56" t="s">
        <v>2133</v>
      </c>
      <c r="M1232" s="56" t="s">
        <v>932</v>
      </c>
    </row>
    <row r="1233">
      <c r="A1233" s="56" t="s">
        <v>1304</v>
      </c>
      <c r="M1233" s="56" t="s">
        <v>2134</v>
      </c>
    </row>
    <row r="1234">
      <c r="A1234" s="56" t="s">
        <v>1297</v>
      </c>
      <c r="M1234" s="56" t="s">
        <v>2135</v>
      </c>
    </row>
    <row r="1235">
      <c r="A1235" s="56" t="s">
        <v>1298</v>
      </c>
      <c r="M1235" s="56" t="s">
        <v>2136</v>
      </c>
    </row>
    <row r="1236">
      <c r="A1236" s="56" t="s">
        <v>932</v>
      </c>
      <c r="M1236" s="56" t="s">
        <v>2137</v>
      </c>
    </row>
    <row r="1237">
      <c r="M1237" s="56" t="s">
        <v>2138</v>
      </c>
    </row>
    <row r="1238">
      <c r="A1238" s="56" t="s">
        <v>2139</v>
      </c>
      <c r="M1238" s="56" t="s">
        <v>2140</v>
      </c>
    </row>
    <row r="1239">
      <c r="A1239" s="56" t="s">
        <v>2141</v>
      </c>
      <c r="M1239" s="56" t="s">
        <v>2142</v>
      </c>
    </row>
    <row r="1240">
      <c r="A1240" s="56" t="s">
        <v>2105</v>
      </c>
    </row>
    <row r="1241">
      <c r="A1241" s="56" t="s">
        <v>2107</v>
      </c>
      <c r="M1241" s="56" t="s">
        <v>2143</v>
      </c>
    </row>
    <row r="1242">
      <c r="A1242" s="56" t="s">
        <v>2108</v>
      </c>
      <c r="M1242" s="56" t="s">
        <v>2144</v>
      </c>
    </row>
    <row r="1243">
      <c r="A1243" s="56" t="s">
        <v>932</v>
      </c>
      <c r="M1243" s="56" t="s">
        <v>2145</v>
      </c>
    </row>
    <row r="1244">
      <c r="M1244" s="56" t="s">
        <v>2146</v>
      </c>
    </row>
    <row r="1245">
      <c r="A1245" s="56" t="s">
        <v>2147</v>
      </c>
      <c r="M1245" s="56" t="s">
        <v>2148</v>
      </c>
    </row>
    <row r="1246">
      <c r="A1246" s="56" t="s">
        <v>2149</v>
      </c>
      <c r="M1246" s="56" t="s">
        <v>2150</v>
      </c>
    </row>
    <row r="1247">
      <c r="A1247" s="56" t="s">
        <v>1584</v>
      </c>
      <c r="M1247" s="56" t="s">
        <v>2151</v>
      </c>
    </row>
    <row r="1248">
      <c r="A1248" s="56" t="s">
        <v>1581</v>
      </c>
      <c r="M1248" s="56" t="s">
        <v>2152</v>
      </c>
    </row>
    <row r="1249">
      <c r="A1249" s="56" t="s">
        <v>1582</v>
      </c>
      <c r="M1249" s="56" t="s">
        <v>2153</v>
      </c>
    </row>
    <row r="1250">
      <c r="A1250" s="56" t="s">
        <v>932</v>
      </c>
      <c r="M1250" s="56" t="s">
        <v>1910</v>
      </c>
    </row>
    <row r="1252">
      <c r="A1252" s="56" t="s">
        <v>2154</v>
      </c>
      <c r="M1252" s="56" t="s">
        <v>2155</v>
      </c>
    </row>
    <row r="1253">
      <c r="A1253" s="56" t="s">
        <v>2156</v>
      </c>
      <c r="M1253" s="56" t="s">
        <v>2157</v>
      </c>
    </row>
    <row r="1254">
      <c r="A1254" s="56" t="s">
        <v>2158</v>
      </c>
      <c r="M1254" s="56" t="s">
        <v>2159</v>
      </c>
    </row>
    <row r="1255">
      <c r="A1255" s="56" t="s">
        <v>2160</v>
      </c>
      <c r="M1255" s="56" t="s">
        <v>2161</v>
      </c>
    </row>
    <row r="1256">
      <c r="A1256" s="56" t="s">
        <v>932</v>
      </c>
      <c r="M1256" s="56" t="s">
        <v>2162</v>
      </c>
    </row>
    <row r="1257">
      <c r="M1257" s="56" t="s">
        <v>1910</v>
      </c>
    </row>
    <row r="1258">
      <c r="A1258" s="56" t="s">
        <v>2163</v>
      </c>
    </row>
    <row r="1259">
      <c r="A1259" s="56" t="s">
        <v>2164</v>
      </c>
      <c r="M1259" s="56" t="s">
        <v>2165</v>
      </c>
    </row>
    <row r="1260">
      <c r="A1260" s="56" t="s">
        <v>972</v>
      </c>
      <c r="M1260" s="56" t="s">
        <v>2166</v>
      </c>
    </row>
    <row r="1261">
      <c r="A1261" s="56" t="s">
        <v>1020</v>
      </c>
      <c r="M1261" s="56" t="s">
        <v>2167</v>
      </c>
    </row>
    <row r="1262">
      <c r="A1262" s="56" t="s">
        <v>1043</v>
      </c>
      <c r="M1262" s="56" t="s">
        <v>2168</v>
      </c>
    </row>
    <row r="1263">
      <c r="A1263" s="56" t="s">
        <v>1481</v>
      </c>
      <c r="M1263" s="56" t="s">
        <v>932</v>
      </c>
    </row>
    <row r="1264">
      <c r="A1264" s="56" t="s">
        <v>932</v>
      </c>
      <c r="M1264" s="56" t="s">
        <v>2169</v>
      </c>
    </row>
    <row r="1265">
      <c r="M1265" s="56" t="s">
        <v>2170</v>
      </c>
    </row>
    <row r="1266">
      <c r="A1266" s="56" t="s">
        <v>2171</v>
      </c>
      <c r="M1266" s="56" t="s">
        <v>2172</v>
      </c>
    </row>
    <row r="1267">
      <c r="A1267" s="56" t="s">
        <v>2173</v>
      </c>
      <c r="M1267" s="56" t="s">
        <v>2174</v>
      </c>
    </row>
    <row r="1268">
      <c r="A1268" s="56" t="s">
        <v>932</v>
      </c>
      <c r="M1268" s="56" t="s">
        <v>2130</v>
      </c>
    </row>
    <row r="1269">
      <c r="M1269" s="56" t="s">
        <v>932</v>
      </c>
    </row>
    <row r="1270">
      <c r="A1270" s="56" t="s">
        <v>2175</v>
      </c>
    </row>
    <row r="1271">
      <c r="A1271" s="56" t="s">
        <v>1044</v>
      </c>
      <c r="M1271" s="56" t="s">
        <v>2176</v>
      </c>
    </row>
    <row r="1272">
      <c r="A1272" s="56" t="s">
        <v>1035</v>
      </c>
      <c r="M1272" s="56" t="s">
        <v>2177</v>
      </c>
    </row>
    <row r="1273">
      <c r="A1273" s="56" t="s">
        <v>966</v>
      </c>
      <c r="M1273" s="56" t="s">
        <v>2178</v>
      </c>
    </row>
    <row r="1274">
      <c r="A1274" s="56" t="s">
        <v>1038</v>
      </c>
      <c r="M1274" s="56" t="s">
        <v>2179</v>
      </c>
    </row>
    <row r="1275">
      <c r="A1275" s="56" t="s">
        <v>1844</v>
      </c>
      <c r="M1275" s="56" t="s">
        <v>2180</v>
      </c>
    </row>
    <row r="1276">
      <c r="A1276" s="56" t="s">
        <v>1196</v>
      </c>
    </row>
    <row r="1277">
      <c r="A1277" s="56" t="s">
        <v>2181</v>
      </c>
      <c r="M1277" s="56" t="s">
        <v>2182</v>
      </c>
    </row>
    <row r="1278">
      <c r="A1278" s="56" t="s">
        <v>1005</v>
      </c>
      <c r="M1278" s="56" t="s">
        <v>2183</v>
      </c>
    </row>
    <row r="1279">
      <c r="A1279" s="56" t="s">
        <v>932</v>
      </c>
      <c r="M1279" s="56" t="s">
        <v>2184</v>
      </c>
    </row>
    <row r="1281">
      <c r="A1281" s="56" t="s">
        <v>2185</v>
      </c>
      <c r="M1281" s="56" t="s">
        <v>2186</v>
      </c>
    </row>
    <row r="1282">
      <c r="A1282" s="56" t="s">
        <v>979</v>
      </c>
      <c r="M1282" s="56" t="s">
        <v>2187</v>
      </c>
    </row>
    <row r="1283">
      <c r="A1283" s="56" t="s">
        <v>1028</v>
      </c>
      <c r="M1283" s="56" t="s">
        <v>2188</v>
      </c>
    </row>
    <row r="1284">
      <c r="A1284" s="56" t="s">
        <v>1548</v>
      </c>
      <c r="M1284" s="56" t="s">
        <v>2005</v>
      </c>
    </row>
    <row r="1285">
      <c r="A1285" s="56" t="s">
        <v>2189</v>
      </c>
      <c r="M1285" s="56" t="s">
        <v>932</v>
      </c>
    </row>
    <row r="1286">
      <c r="A1286" s="56" t="s">
        <v>1006</v>
      </c>
    </row>
    <row r="1287">
      <c r="A1287" s="56" t="s">
        <v>932</v>
      </c>
      <c r="M1287" s="56" t="s">
        <v>2190</v>
      </c>
    </row>
    <row r="1288">
      <c r="M1288" s="56" t="s">
        <v>2191</v>
      </c>
    </row>
    <row r="1289">
      <c r="A1289" s="56" t="s">
        <v>2192</v>
      </c>
    </row>
    <row r="1290">
      <c r="A1290" s="56" t="s">
        <v>945</v>
      </c>
      <c r="M1290" s="56" t="s">
        <v>2193</v>
      </c>
    </row>
    <row r="1291">
      <c r="A1291" s="56" t="s">
        <v>2189</v>
      </c>
      <c r="M1291" s="69" t="str">
        <f>+'&lt;th style="cursor:pointer; width: 100px;" onclick="ordSort(\'order_date\')"&gt;Date'+arrow('order_date')+'&lt;/th&gt;'</f>
        <v>#ERROR!</v>
      </c>
    </row>
    <row r="1292">
      <c r="A1292" s="56" t="s">
        <v>2194</v>
      </c>
      <c r="M1292" s="69" t="str">
        <f>+'&lt;th style="width: 140px;"&gt;Order ID&lt;/th&gt;'</f>
        <v>#ERROR!</v>
      </c>
    </row>
    <row r="1293">
      <c r="A1293" s="56" t="s">
        <v>2195</v>
      </c>
      <c r="M1293" s="69" t="str">
        <f>+'&lt;th style="width: 120px;"&gt;Channel&lt;/th&gt;'</f>
        <v>#ERROR!</v>
      </c>
    </row>
    <row r="1294">
      <c r="A1294" s="56" t="s">
        <v>932</v>
      </c>
      <c r="M1294" s="69" t="str">
        <f>+'&lt;th style="cursor:pointer;" onclick="ordSort(\'buyer_name\')"&gt;Customer Details'+arrow('buyer_name')+'&lt;/th&gt;'</f>
        <v>#ERROR!</v>
      </c>
    </row>
    <row r="1295">
      <c r="M1295" s="69" t="str">
        <f>+'&lt;th&gt;Products&lt;/th&gt;'</f>
        <v>#ERROR!</v>
      </c>
    </row>
    <row r="1296">
      <c r="A1296" s="56" t="s">
        <v>2196</v>
      </c>
      <c r="M1296" s="69" t="str">
        <f>+'&lt;th style="text-align:right;cursor:pointer;width:80px;" onclick="ordSort(\'total_quantity\')"&gt;Qty'+arrow('total_quantity')+'&lt;/th&gt;'</f>
        <v>#ERROR!</v>
      </c>
    </row>
    <row r="1297">
      <c r="A1297" s="56" t="s">
        <v>1044</v>
      </c>
      <c r="M1297" s="69" t="str">
        <f>+'&lt;th style="width: 120px;"&gt;Status&lt;/th&gt;'</f>
        <v>#ERROR!</v>
      </c>
    </row>
    <row r="1298">
      <c r="A1298" s="56" t="s">
        <v>1326</v>
      </c>
      <c r="M1298" s="69" t="str">
        <f>+'&lt;th style="width:40px;"&gt;&lt;/th&gt;'</f>
        <v>#ERROR!</v>
      </c>
    </row>
    <row r="1299">
      <c r="A1299" s="56" t="s">
        <v>966</v>
      </c>
      <c r="M1299" s="69" t="str">
        <f>+'&lt;/tr&gt;&lt;/thead&gt;&lt;tbody&gt;';</f>
        <v>#ERROR!</v>
      </c>
    </row>
    <row r="1300">
      <c r="A1300" s="56" t="s">
        <v>2197</v>
      </c>
    </row>
    <row r="1301">
      <c r="A1301" s="56" t="s">
        <v>2025</v>
      </c>
      <c r="M1301" s="56" t="s">
        <v>2198</v>
      </c>
    </row>
    <row r="1302">
      <c r="A1302" s="56" t="s">
        <v>1005</v>
      </c>
      <c r="M1302" s="56" t="s">
        <v>2199</v>
      </c>
    </row>
    <row r="1303">
      <c r="A1303" s="56" t="s">
        <v>932</v>
      </c>
      <c r="M1303" s="56" t="s">
        <v>2200</v>
      </c>
    </row>
    <row r="1304">
      <c r="M1304" s="56" t="s">
        <v>2201</v>
      </c>
    </row>
    <row r="1305">
      <c r="A1305" s="56" t="s">
        <v>2202</v>
      </c>
      <c r="M1305" s="56" t="s">
        <v>2203</v>
      </c>
    </row>
    <row r="1306">
      <c r="A1306" s="56" t="s">
        <v>2204</v>
      </c>
    </row>
    <row r="1307">
      <c r="A1307" s="56" t="s">
        <v>972</v>
      </c>
      <c r="M1307" s="56" t="s">
        <v>2205</v>
      </c>
    </row>
    <row r="1308">
      <c r="A1308" s="56" t="s">
        <v>1020</v>
      </c>
      <c r="M1308" s="56" t="s">
        <v>2206</v>
      </c>
    </row>
    <row r="1309">
      <c r="A1309" s="56" t="s">
        <v>2207</v>
      </c>
      <c r="M1309" s="56" t="s">
        <v>2208</v>
      </c>
    </row>
    <row r="1310">
      <c r="A1310" s="56" t="s">
        <v>932</v>
      </c>
      <c r="M1310" s="56" t="s">
        <v>2209</v>
      </c>
    </row>
    <row r="1311">
      <c r="M1311" s="56" t="s">
        <v>2210</v>
      </c>
    </row>
    <row r="1312">
      <c r="A1312" s="56" t="s">
        <v>2211</v>
      </c>
      <c r="M1312" s="56" t="s">
        <v>2212</v>
      </c>
    </row>
    <row r="1313">
      <c r="A1313" s="56" t="s">
        <v>979</v>
      </c>
      <c r="M1313" s="56" t="s">
        <v>2213</v>
      </c>
    </row>
    <row r="1314">
      <c r="A1314" s="56" t="s">
        <v>932</v>
      </c>
      <c r="M1314" s="56" t="s">
        <v>2214</v>
      </c>
    </row>
    <row r="1315">
      <c r="M1315" s="56" t="s">
        <v>2215</v>
      </c>
    </row>
    <row r="1316">
      <c r="A1316" s="56" t="s">
        <v>2216</v>
      </c>
      <c r="M1316" s="56" t="s">
        <v>2217</v>
      </c>
    </row>
    <row r="1317">
      <c r="A1317" s="56" t="s">
        <v>972</v>
      </c>
      <c r="M1317" s="56" t="s">
        <v>932</v>
      </c>
    </row>
    <row r="1318">
      <c r="A1318" s="56" t="s">
        <v>1181</v>
      </c>
      <c r="M1318" s="56" t="s">
        <v>2218</v>
      </c>
    </row>
    <row r="1319">
      <c r="A1319" s="56" t="s">
        <v>1020</v>
      </c>
      <c r="M1319" s="56" t="s">
        <v>2219</v>
      </c>
    </row>
    <row r="1320">
      <c r="A1320" s="56" t="s">
        <v>2049</v>
      </c>
    </row>
    <row r="1321">
      <c r="A1321" s="56" t="s">
        <v>2052</v>
      </c>
      <c r="M1321" s="56" t="s">
        <v>2220</v>
      </c>
    </row>
    <row r="1322">
      <c r="A1322" s="56" t="s">
        <v>1326</v>
      </c>
      <c r="M1322" s="56" t="s">
        <v>2221</v>
      </c>
    </row>
    <row r="1323">
      <c r="A1323" s="56" t="s">
        <v>932</v>
      </c>
      <c r="M1323" s="56" t="s">
        <v>2222</v>
      </c>
    </row>
    <row r="1324">
      <c r="M1324" s="56" t="s">
        <v>2223</v>
      </c>
    </row>
    <row r="1325">
      <c r="A1325" s="56" t="s">
        <v>2224</v>
      </c>
      <c r="M1325" s="56" t="s">
        <v>2225</v>
      </c>
    </row>
    <row r="1326">
      <c r="A1326" s="56" t="s">
        <v>1677</v>
      </c>
    </row>
    <row r="1327">
      <c r="A1327" s="56" t="s">
        <v>932</v>
      </c>
      <c r="M1327" s="56" t="s">
        <v>2226</v>
      </c>
    </row>
    <row r="1328">
      <c r="M1328" s="56" t="s">
        <v>2227</v>
      </c>
    </row>
    <row r="1329">
      <c r="A1329" s="56" t="s">
        <v>2228</v>
      </c>
      <c r="M1329" s="56" t="s">
        <v>2229</v>
      </c>
    </row>
    <row r="1330">
      <c r="A1330" s="56" t="s">
        <v>1027</v>
      </c>
      <c r="M1330" s="56" t="s">
        <v>2230</v>
      </c>
    </row>
    <row r="1331">
      <c r="A1331" s="56" t="s">
        <v>1028</v>
      </c>
      <c r="M1331" s="56" t="s">
        <v>2231</v>
      </c>
    </row>
    <row r="1332">
      <c r="A1332" s="56" t="s">
        <v>1031</v>
      </c>
      <c r="M1332" s="56" t="s">
        <v>2080</v>
      </c>
    </row>
    <row r="1333">
      <c r="A1333" s="56" t="s">
        <v>1153</v>
      </c>
      <c r="M1333" s="56" t="s">
        <v>932</v>
      </c>
    </row>
    <row r="1334">
      <c r="A1334" s="56" t="s">
        <v>2232</v>
      </c>
    </row>
    <row r="1335">
      <c r="A1335" s="56" t="s">
        <v>932</v>
      </c>
      <c r="M1335" s="56" t="s">
        <v>2233</v>
      </c>
    </row>
    <row r="1336">
      <c r="M1336" s="56" t="s">
        <v>2234</v>
      </c>
    </row>
    <row r="1337">
      <c r="A1337" s="56" t="s">
        <v>2235</v>
      </c>
      <c r="M1337" s="56" t="s">
        <v>2236</v>
      </c>
    </row>
    <row r="1338">
      <c r="A1338" s="56" t="s">
        <v>2237</v>
      </c>
      <c r="M1338" s="56" t="s">
        <v>2238</v>
      </c>
    </row>
    <row r="1339">
      <c r="A1339" s="56" t="s">
        <v>1362</v>
      </c>
      <c r="M1339" s="56" t="s">
        <v>2190</v>
      </c>
    </row>
    <row r="1340">
      <c r="A1340" s="56" t="s">
        <v>1043</v>
      </c>
      <c r="M1340" s="56" t="s">
        <v>2200</v>
      </c>
    </row>
    <row r="1341">
      <c r="A1341" s="56" t="s">
        <v>2239</v>
      </c>
      <c r="M1341" s="56" t="s">
        <v>2203</v>
      </c>
    </row>
    <row r="1342">
      <c r="A1342" s="56" t="s">
        <v>932</v>
      </c>
    </row>
    <row r="1343">
      <c r="M1343" s="56" t="s">
        <v>2240</v>
      </c>
    </row>
    <row r="1344">
      <c r="A1344" s="56" t="s">
        <v>2241</v>
      </c>
      <c r="M1344" s="56" t="s">
        <v>2242</v>
      </c>
    </row>
    <row r="1345">
      <c r="A1345" s="56" t="s">
        <v>1381</v>
      </c>
      <c r="M1345" s="56" t="s">
        <v>1493</v>
      </c>
    </row>
    <row r="1346">
      <c r="A1346" s="56" t="s">
        <v>1383</v>
      </c>
      <c r="M1346" s="56" t="s">
        <v>2243</v>
      </c>
    </row>
    <row r="1347">
      <c r="A1347" s="56" t="s">
        <v>1060</v>
      </c>
      <c r="M1347" s="56" t="s">
        <v>2244</v>
      </c>
    </row>
    <row r="1348">
      <c r="A1348" s="56" t="s">
        <v>1336</v>
      </c>
      <c r="M1348" s="56" t="s">
        <v>1431</v>
      </c>
    </row>
    <row r="1349">
      <c r="A1349" s="56" t="s">
        <v>1018</v>
      </c>
      <c r="M1349" s="56" t="s">
        <v>2245</v>
      </c>
    </row>
    <row r="1350">
      <c r="A1350" s="56" t="s">
        <v>972</v>
      </c>
      <c r="M1350" s="56" t="s">
        <v>2246</v>
      </c>
    </row>
    <row r="1351">
      <c r="A1351" s="56" t="s">
        <v>1020</v>
      </c>
      <c r="M1351" s="56" t="s">
        <v>2247</v>
      </c>
    </row>
    <row r="1352">
      <c r="A1352" s="56" t="s">
        <v>1181</v>
      </c>
      <c r="M1352" s="56" t="s">
        <v>2248</v>
      </c>
    </row>
    <row r="1353">
      <c r="A1353" s="56" t="s">
        <v>1342</v>
      </c>
      <c r="M1353" s="56" t="s">
        <v>1431</v>
      </c>
    </row>
    <row r="1354">
      <c r="A1354" s="56" t="s">
        <v>1074</v>
      </c>
      <c r="M1354" s="56" t="s">
        <v>1431</v>
      </c>
    </row>
    <row r="1355">
      <c r="A1355" s="56" t="s">
        <v>932</v>
      </c>
      <c r="M1355" s="56" t="s">
        <v>1431</v>
      </c>
    </row>
    <row r="1357">
      <c r="A1357" s="56" t="s">
        <v>2249</v>
      </c>
      <c r="M1357" s="56" t="s">
        <v>2250</v>
      </c>
    </row>
    <row r="1358">
      <c r="A1358" s="56" t="s">
        <v>1016</v>
      </c>
      <c r="M1358" s="56" t="s">
        <v>2251</v>
      </c>
    </row>
    <row r="1359">
      <c r="A1359" s="56" t="s">
        <v>1017</v>
      </c>
      <c r="M1359" s="56" t="s">
        <v>2252</v>
      </c>
    </row>
    <row r="1360">
      <c r="A1360" s="56" t="s">
        <v>966</v>
      </c>
      <c r="M1360" s="56" t="s">
        <v>2253</v>
      </c>
    </row>
    <row r="1361">
      <c r="A1361" s="56" t="s">
        <v>932</v>
      </c>
      <c r="M1361" s="56" t="s">
        <v>1431</v>
      </c>
    </row>
    <row r="1362">
      <c r="M1362" s="56" t="s">
        <v>2254</v>
      </c>
    </row>
    <row r="1363">
      <c r="A1363" s="56" t="s">
        <v>2255</v>
      </c>
      <c r="M1363" s="56" t="s">
        <v>2256</v>
      </c>
    </row>
    <row r="1364">
      <c r="A1364" s="56" t="s">
        <v>1044</v>
      </c>
      <c r="M1364" s="56" t="s">
        <v>2257</v>
      </c>
    </row>
    <row r="1365">
      <c r="A1365" s="56" t="s">
        <v>1326</v>
      </c>
      <c r="M1365" s="56" t="s">
        <v>1431</v>
      </c>
    </row>
    <row r="1366">
      <c r="A1366" s="56" t="s">
        <v>2258</v>
      </c>
      <c r="M1366" s="56" t="s">
        <v>1431</v>
      </c>
    </row>
    <row r="1367">
      <c r="A1367" s="56" t="s">
        <v>1143</v>
      </c>
    </row>
    <row r="1368">
      <c r="A1368" s="56" t="s">
        <v>932</v>
      </c>
      <c r="M1368" s="56" t="s">
        <v>2259</v>
      </c>
    </row>
    <row r="1369">
      <c r="M1369" s="56" t="s">
        <v>2260</v>
      </c>
    </row>
    <row r="1370">
      <c r="A1370" s="56" t="s">
        <v>2261</v>
      </c>
      <c r="M1370" s="56" t="s">
        <v>1661</v>
      </c>
    </row>
    <row r="1371">
      <c r="A1371" s="56" t="s">
        <v>2025</v>
      </c>
      <c r="M1371" s="56" t="s">
        <v>1663</v>
      </c>
    </row>
    <row r="1372">
      <c r="A1372" s="56" t="s">
        <v>932</v>
      </c>
      <c r="M1372" s="56" t="s">
        <v>2262</v>
      </c>
    </row>
    <row r="1373">
      <c r="M1373" s="56" t="s">
        <v>1666</v>
      </c>
    </row>
    <row r="1374">
      <c r="A1374" s="56" t="s">
        <v>2263</v>
      </c>
      <c r="M1374" s="56" t="s">
        <v>2264</v>
      </c>
    </row>
    <row r="1375">
      <c r="A1375" s="56" t="s">
        <v>1044</v>
      </c>
      <c r="M1375" s="56" t="s">
        <v>2265</v>
      </c>
    </row>
    <row r="1376">
      <c r="A1376" s="56" t="s">
        <v>1035</v>
      </c>
      <c r="M1376" s="56" t="s">
        <v>2266</v>
      </c>
    </row>
    <row r="1377">
      <c r="A1377" s="56" t="s">
        <v>2258</v>
      </c>
      <c r="M1377" s="56" t="s">
        <v>2267</v>
      </c>
    </row>
    <row r="1378">
      <c r="A1378" s="56" t="s">
        <v>1038</v>
      </c>
      <c r="M1378" s="56" t="s">
        <v>2268</v>
      </c>
    </row>
    <row r="1379">
      <c r="A1379" s="56" t="s">
        <v>1500</v>
      </c>
      <c r="M1379" s="56" t="s">
        <v>2269</v>
      </c>
    </row>
    <row r="1380">
      <c r="A1380" s="56" t="s">
        <v>932</v>
      </c>
      <c r="M1380" s="56" t="s">
        <v>2270</v>
      </c>
    </row>
    <row r="1381">
      <c r="M1381" s="56" t="s">
        <v>2271</v>
      </c>
    </row>
    <row r="1382">
      <c r="A1382" s="56" t="s">
        <v>2272</v>
      </c>
      <c r="M1382" s="56" t="s">
        <v>2273</v>
      </c>
    </row>
    <row r="1383">
      <c r="A1383" s="56" t="s">
        <v>1016</v>
      </c>
      <c r="M1383" s="56" t="s">
        <v>2274</v>
      </c>
    </row>
    <row r="1384">
      <c r="A1384" s="56" t="s">
        <v>2275</v>
      </c>
      <c r="M1384" s="56" t="s">
        <v>1668</v>
      </c>
    </row>
    <row r="1385">
      <c r="A1385" s="56" t="s">
        <v>966</v>
      </c>
      <c r="M1385" s="56" t="s">
        <v>1431</v>
      </c>
    </row>
    <row r="1386">
      <c r="A1386" s="56" t="s">
        <v>1430</v>
      </c>
    </row>
    <row r="1387">
      <c r="A1387" s="56" t="s">
        <v>932</v>
      </c>
      <c r="M1387" s="56" t="s">
        <v>2276</v>
      </c>
    </row>
    <row r="1388">
      <c r="M1388" s="56" t="s">
        <v>2277</v>
      </c>
    </row>
    <row r="1389">
      <c r="A1389" s="56" t="s">
        <v>2278</v>
      </c>
      <c r="M1389" s="56" t="s">
        <v>2279</v>
      </c>
    </row>
    <row r="1390">
      <c r="A1390" s="56" t="s">
        <v>972</v>
      </c>
      <c r="M1390" s="56" t="s">
        <v>1431</v>
      </c>
    </row>
    <row r="1391">
      <c r="A1391" s="56" t="s">
        <v>1172</v>
      </c>
      <c r="M1391" s="56" t="s">
        <v>1874</v>
      </c>
    </row>
    <row r="1392">
      <c r="A1392" s="56" t="s">
        <v>1060</v>
      </c>
    </row>
    <row r="1393">
      <c r="A1393" s="56" t="s">
        <v>1006</v>
      </c>
      <c r="M1393" s="56" t="s">
        <v>2280</v>
      </c>
    </row>
    <row r="1394">
      <c r="A1394" s="56" t="s">
        <v>2281</v>
      </c>
      <c r="M1394" s="56" t="s">
        <v>2282</v>
      </c>
    </row>
    <row r="1395">
      <c r="A1395" s="56" t="s">
        <v>932</v>
      </c>
      <c r="M1395" s="56" t="s">
        <v>2283</v>
      </c>
    </row>
    <row r="1396">
      <c r="M1396" s="56" t="s">
        <v>2080</v>
      </c>
    </row>
    <row r="1397">
      <c r="A1397" s="56" t="s">
        <v>2284</v>
      </c>
      <c r="M1397" s="56" t="s">
        <v>932</v>
      </c>
    </row>
    <row r="1398">
      <c r="A1398" s="56" t="s">
        <v>1211</v>
      </c>
    </row>
    <row r="1399">
      <c r="A1399" s="56" t="s">
        <v>1061</v>
      </c>
      <c r="M1399" s="56" t="s">
        <v>2285</v>
      </c>
    </row>
    <row r="1400">
      <c r="A1400" s="56" t="s">
        <v>1063</v>
      </c>
      <c r="M1400" s="56" t="s">
        <v>2286</v>
      </c>
    </row>
    <row r="1401">
      <c r="A1401" s="56" t="s">
        <v>1064</v>
      </c>
      <c r="M1401" s="56" t="s">
        <v>932</v>
      </c>
    </row>
    <row r="1402">
      <c r="A1402" s="56" t="s">
        <v>1196</v>
      </c>
      <c r="M1402" s="56" t="s">
        <v>2287</v>
      </c>
    </row>
    <row r="1403">
      <c r="A1403" s="56" t="s">
        <v>1171</v>
      </c>
    </row>
    <row r="1404">
      <c r="A1404" s="56" t="s">
        <v>2288</v>
      </c>
      <c r="M1404" s="56" t="s">
        <v>2289</v>
      </c>
    </row>
    <row r="1405">
      <c r="A1405" s="56" t="s">
        <v>2290</v>
      </c>
      <c r="M1405" s="56" t="s">
        <v>2291</v>
      </c>
    </row>
    <row r="1406">
      <c r="A1406" s="56" t="s">
        <v>1065</v>
      </c>
      <c r="M1406" s="56" t="s">
        <v>1929</v>
      </c>
    </row>
    <row r="1407">
      <c r="A1407" s="56" t="s">
        <v>1032</v>
      </c>
      <c r="M1407" s="56" t="s">
        <v>2292</v>
      </c>
    </row>
    <row r="1408">
      <c r="A1408" s="56" t="s">
        <v>932</v>
      </c>
      <c r="M1408" s="56" t="s">
        <v>2293</v>
      </c>
    </row>
    <row r="1409">
      <c r="M1409" s="56" t="s">
        <v>2294</v>
      </c>
    </row>
    <row r="1410">
      <c r="A1410" s="56" t="s">
        <v>2295</v>
      </c>
      <c r="M1410" s="56" t="s">
        <v>932</v>
      </c>
    </row>
    <row r="1411">
      <c r="A1411" s="56" t="s">
        <v>2296</v>
      </c>
    </row>
    <row r="1412">
      <c r="A1412" s="56" t="s">
        <v>932</v>
      </c>
      <c r="M1412" s="56" t="s">
        <v>1829</v>
      </c>
    </row>
    <row r="1413">
      <c r="M1413" s="56" t="s">
        <v>2297</v>
      </c>
    </row>
    <row r="1414">
      <c r="A1414" s="56" t="s">
        <v>2298</v>
      </c>
      <c r="M1414" s="56" t="s">
        <v>1829</v>
      </c>
    </row>
    <row r="1415">
      <c r="A1415" s="56" t="s">
        <v>1234</v>
      </c>
      <c r="M1415" s="56" t="s">
        <v>2299</v>
      </c>
    </row>
    <row r="1416">
      <c r="A1416" s="56" t="s">
        <v>1018</v>
      </c>
      <c r="M1416" s="56" t="s">
        <v>2300</v>
      </c>
    </row>
    <row r="1417">
      <c r="A1417" s="56" t="s">
        <v>932</v>
      </c>
      <c r="M1417" s="56" t="s">
        <v>1929</v>
      </c>
    </row>
    <row r="1418">
      <c r="M1418" s="56" t="s">
        <v>2301</v>
      </c>
    </row>
    <row r="1419">
      <c r="A1419" s="56" t="s">
        <v>2302</v>
      </c>
      <c r="M1419" s="56" t="s">
        <v>2303</v>
      </c>
    </row>
    <row r="1420">
      <c r="A1420" s="56" t="s">
        <v>1519</v>
      </c>
      <c r="M1420" s="56" t="s">
        <v>2036</v>
      </c>
    </row>
    <row r="1421">
      <c r="A1421" s="56" t="s">
        <v>1635</v>
      </c>
      <c r="M1421" s="56" t="s">
        <v>932</v>
      </c>
    </row>
    <row r="1422">
      <c r="A1422" s="56" t="s">
        <v>932</v>
      </c>
      <c r="M1422" s="56" t="s">
        <v>2304</v>
      </c>
    </row>
    <row r="1423">
      <c r="M1423" s="56" t="s">
        <v>2305</v>
      </c>
    </row>
    <row r="1424">
      <c r="A1424" s="56" t="s">
        <v>2306</v>
      </c>
      <c r="M1424" s="56" t="s">
        <v>2307</v>
      </c>
    </row>
    <row r="1425">
      <c r="A1425" s="56" t="s">
        <v>2308</v>
      </c>
      <c r="M1425" s="56" t="s">
        <v>2309</v>
      </c>
    </row>
    <row r="1426">
      <c r="A1426" s="56" t="s">
        <v>1076</v>
      </c>
    </row>
    <row r="1427">
      <c r="A1427" s="56" t="s">
        <v>1119</v>
      </c>
      <c r="M1427" s="56" t="s">
        <v>2310</v>
      </c>
    </row>
    <row r="1428">
      <c r="A1428" s="56" t="s">
        <v>1670</v>
      </c>
      <c r="M1428" s="56" t="s">
        <v>2311</v>
      </c>
    </row>
    <row r="1429">
      <c r="A1429" s="56" t="s">
        <v>932</v>
      </c>
      <c r="M1429" s="56" t="s">
        <v>2312</v>
      </c>
    </row>
    <row r="1430">
      <c r="M1430" s="56" t="s">
        <v>2313</v>
      </c>
    </row>
    <row r="1431">
      <c r="A1431" s="56" t="s">
        <v>2314</v>
      </c>
      <c r="M1431" s="56" t="s">
        <v>1910</v>
      </c>
    </row>
    <row r="1432">
      <c r="A1432" s="56" t="s">
        <v>1044</v>
      </c>
    </row>
    <row r="1433">
      <c r="A1433" s="56" t="s">
        <v>1035</v>
      </c>
      <c r="M1433" s="56" t="s">
        <v>2315</v>
      </c>
    </row>
    <row r="1434">
      <c r="A1434" s="56" t="s">
        <v>966</v>
      </c>
      <c r="M1434" s="56" t="s">
        <v>2316</v>
      </c>
    </row>
    <row r="1435">
      <c r="A1435" s="56" t="s">
        <v>1038</v>
      </c>
      <c r="M1435" s="56" t="s">
        <v>2317</v>
      </c>
    </row>
    <row r="1436">
      <c r="A1436" s="56" t="s">
        <v>1500</v>
      </c>
      <c r="M1436" s="56" t="s">
        <v>2318</v>
      </c>
    </row>
    <row r="1437">
      <c r="A1437" s="56" t="s">
        <v>1196</v>
      </c>
      <c r="M1437" s="56" t="s">
        <v>2319</v>
      </c>
    </row>
    <row r="1438">
      <c r="A1438" s="56" t="s">
        <v>1275</v>
      </c>
      <c r="M1438" s="56" t="s">
        <v>932</v>
      </c>
    </row>
    <row r="1439">
      <c r="A1439" s="56" t="s">
        <v>932</v>
      </c>
      <c r="M1439" s="56" t="s">
        <v>2320</v>
      </c>
    </row>
    <row r="1440">
      <c r="M1440" s="56" t="s">
        <v>932</v>
      </c>
    </row>
    <row r="1441">
      <c r="A1441" s="56" t="s">
        <v>2321</v>
      </c>
      <c r="M1441" s="56" t="s">
        <v>2322</v>
      </c>
    </row>
    <row r="1442">
      <c r="A1442" s="56" t="s">
        <v>1275</v>
      </c>
      <c r="M1442" s="56" t="s">
        <v>2323</v>
      </c>
    </row>
    <row r="1443">
      <c r="A1443" s="56" t="s">
        <v>966</v>
      </c>
      <c r="M1443" s="56" t="s">
        <v>2324</v>
      </c>
    </row>
    <row r="1444">
      <c r="A1444" s="56" t="s">
        <v>1677</v>
      </c>
      <c r="M1444" s="56" t="s">
        <v>932</v>
      </c>
    </row>
    <row r="1445">
      <c r="A1445" s="56" t="s">
        <v>932</v>
      </c>
      <c r="M1445" s="56" t="s">
        <v>2325</v>
      </c>
    </row>
    <row r="1447">
      <c r="A1447" s="56" t="s">
        <v>2326</v>
      </c>
      <c r="M1447" s="56" t="s">
        <v>2327</v>
      </c>
    </row>
    <row r="1448">
      <c r="A1448" s="56" t="s">
        <v>1044</v>
      </c>
      <c r="M1448" s="56" t="s">
        <v>2328</v>
      </c>
    </row>
    <row r="1449">
      <c r="A1449" s="56" t="s">
        <v>1601</v>
      </c>
      <c r="M1449" s="56" t="s">
        <v>2329</v>
      </c>
    </row>
    <row r="1450">
      <c r="A1450" s="56" t="s">
        <v>1036</v>
      </c>
      <c r="M1450" s="56" t="s">
        <v>2330</v>
      </c>
    </row>
    <row r="1451">
      <c r="A1451" s="56" t="s">
        <v>1571</v>
      </c>
      <c r="M1451" s="56" t="s">
        <v>2331</v>
      </c>
    </row>
    <row r="1452">
      <c r="A1452" s="56" t="s">
        <v>932</v>
      </c>
      <c r="M1452" s="56" t="s">
        <v>2332</v>
      </c>
    </row>
    <row r="1453">
      <c r="M1453" s="56" t="s">
        <v>2333</v>
      </c>
    </row>
    <row r="1454">
      <c r="A1454" s="56" t="s">
        <v>2334</v>
      </c>
      <c r="M1454" s="56" t="s">
        <v>2335</v>
      </c>
    </row>
    <row r="1455">
      <c r="A1455" s="56" t="s">
        <v>1196</v>
      </c>
    </row>
    <row r="1456">
      <c r="A1456" s="56" t="s">
        <v>932</v>
      </c>
      <c r="M1456" s="56" t="s">
        <v>2186</v>
      </c>
    </row>
    <row r="1457">
      <c r="M1457" s="56" t="s">
        <v>2336</v>
      </c>
    </row>
    <row r="1458">
      <c r="A1458" s="56" t="s">
        <v>2337</v>
      </c>
      <c r="M1458" s="56" t="s">
        <v>2338</v>
      </c>
    </row>
    <row r="1459">
      <c r="A1459" s="56" t="s">
        <v>1297</v>
      </c>
      <c r="M1459" s="56" t="s">
        <v>932</v>
      </c>
    </row>
    <row r="1460">
      <c r="A1460" s="56" t="s">
        <v>932</v>
      </c>
    </row>
    <row r="1461">
      <c r="M1461" s="56" t="s">
        <v>2339</v>
      </c>
    </row>
    <row r="1462">
      <c r="A1462" s="56" t="s">
        <v>2340</v>
      </c>
      <c r="M1462" s="56" t="s">
        <v>2341</v>
      </c>
    </row>
    <row r="1463">
      <c r="A1463" s="56" t="s">
        <v>1044</v>
      </c>
      <c r="M1463" s="56" t="s">
        <v>2342</v>
      </c>
    </row>
    <row r="1464">
      <c r="A1464" s="56" t="s">
        <v>1063</v>
      </c>
      <c r="M1464" s="56" t="s">
        <v>2343</v>
      </c>
    </row>
    <row r="1465">
      <c r="A1465" s="56" t="s">
        <v>1196</v>
      </c>
      <c r="M1465" s="56" t="s">
        <v>2344</v>
      </c>
    </row>
    <row r="1466">
      <c r="A1466" s="56" t="s">
        <v>932</v>
      </c>
      <c r="M1466" s="56" t="s">
        <v>2345</v>
      </c>
    </row>
    <row r="1467">
      <c r="M1467" s="56" t="s">
        <v>2346</v>
      </c>
    </row>
    <row r="1468">
      <c r="A1468" s="56" t="s">
        <v>2347</v>
      </c>
    </row>
    <row r="1469">
      <c r="A1469" s="56" t="s">
        <v>2107</v>
      </c>
      <c r="M1469" s="56" t="s">
        <v>2348</v>
      </c>
    </row>
    <row r="1470">
      <c r="A1470" s="56" t="s">
        <v>932</v>
      </c>
      <c r="M1470" s="56" t="s">
        <v>2349</v>
      </c>
    </row>
    <row r="1471">
      <c r="M1471" s="56" t="s">
        <v>2350</v>
      </c>
    </row>
    <row r="1472">
      <c r="A1472" s="56" t="s">
        <v>2351</v>
      </c>
    </row>
    <row r="1473">
      <c r="A1473" s="56" t="s">
        <v>1297</v>
      </c>
      <c r="M1473" s="56" t="s">
        <v>2352</v>
      </c>
    </row>
    <row r="1474">
      <c r="A1474" s="56" t="s">
        <v>932</v>
      </c>
      <c r="M1474" s="56" t="s">
        <v>2353</v>
      </c>
    </row>
    <row r="1475">
      <c r="M1475" s="56" t="s">
        <v>2354</v>
      </c>
    </row>
    <row r="1476">
      <c r="A1476" s="56" t="s">
        <v>2355</v>
      </c>
      <c r="M1476" s="56" t="s">
        <v>2356</v>
      </c>
    </row>
    <row r="1477">
      <c r="A1477" s="56" t="s">
        <v>1216</v>
      </c>
      <c r="M1477" s="56" t="s">
        <v>2357</v>
      </c>
    </row>
    <row r="1478">
      <c r="A1478" s="56" t="s">
        <v>1020</v>
      </c>
      <c r="M1478" s="56" t="s">
        <v>2358</v>
      </c>
    </row>
    <row r="1479">
      <c r="A1479" s="56" t="s">
        <v>1219</v>
      </c>
      <c r="M1479" s="56" t="s">
        <v>2359</v>
      </c>
    </row>
    <row r="1480">
      <c r="A1480" s="56" t="s">
        <v>2360</v>
      </c>
      <c r="M1480" s="56" t="s">
        <v>2361</v>
      </c>
    </row>
    <row r="1481">
      <c r="A1481" s="56" t="s">
        <v>1172</v>
      </c>
      <c r="M1481" s="56" t="s">
        <v>2081</v>
      </c>
    </row>
    <row r="1482">
      <c r="A1482" s="56" t="s">
        <v>1060</v>
      </c>
    </row>
    <row r="1483">
      <c r="A1483" s="56" t="s">
        <v>1061</v>
      </c>
      <c r="M1483" s="56" t="s">
        <v>2362</v>
      </c>
    </row>
    <row r="1484">
      <c r="A1484" s="56" t="s">
        <v>1063</v>
      </c>
      <c r="M1484" s="56" t="s">
        <v>2363</v>
      </c>
    </row>
    <row r="1485">
      <c r="A1485" s="56" t="s">
        <v>1064</v>
      </c>
    </row>
    <row r="1486">
      <c r="A1486" s="56" t="s">
        <v>1196</v>
      </c>
      <c r="M1486" s="56" t="s">
        <v>2364</v>
      </c>
    </row>
    <row r="1487">
      <c r="A1487" s="56" t="s">
        <v>1171</v>
      </c>
      <c r="M1487" s="56" t="s">
        <v>2365</v>
      </c>
    </row>
    <row r="1488">
      <c r="A1488" s="56" t="s">
        <v>1065</v>
      </c>
      <c r="M1488" s="56" t="s">
        <v>2366</v>
      </c>
    </row>
    <row r="1489">
      <c r="A1489" s="56" t="s">
        <v>1032</v>
      </c>
      <c r="M1489" s="56" t="s">
        <v>2367</v>
      </c>
    </row>
    <row r="1490">
      <c r="A1490" s="56" t="s">
        <v>932</v>
      </c>
      <c r="M1490" s="56" t="s">
        <v>2368</v>
      </c>
    </row>
    <row r="1491">
      <c r="M1491" s="56" t="s">
        <v>1431</v>
      </c>
    </row>
    <row r="1492">
      <c r="A1492" s="56" t="s">
        <v>2369</v>
      </c>
      <c r="M1492" s="56" t="s">
        <v>2370</v>
      </c>
    </row>
    <row r="1493">
      <c r="A1493" s="56" t="s">
        <v>1234</v>
      </c>
      <c r="M1493" s="56" t="s">
        <v>1493</v>
      </c>
    </row>
    <row r="1494">
      <c r="A1494" s="56" t="s">
        <v>1018</v>
      </c>
      <c r="M1494" s="56" t="s">
        <v>2371</v>
      </c>
    </row>
    <row r="1495">
      <c r="A1495" s="56" t="s">
        <v>1236</v>
      </c>
      <c r="M1495" s="56" t="s">
        <v>2372</v>
      </c>
    </row>
    <row r="1496">
      <c r="A1496" s="56" t="s">
        <v>932</v>
      </c>
      <c r="M1496" s="56" t="s">
        <v>1431</v>
      </c>
    </row>
    <row r="1497">
      <c r="M1497" s="56" t="s">
        <v>2373</v>
      </c>
    </row>
    <row r="1498">
      <c r="A1498" s="56" t="s">
        <v>2374</v>
      </c>
      <c r="M1498" s="56" t="s">
        <v>1431</v>
      </c>
    </row>
    <row r="1499">
      <c r="A1499" s="56" t="s">
        <v>2375</v>
      </c>
      <c r="M1499" s="56" t="s">
        <v>2376</v>
      </c>
    </row>
    <row r="1500">
      <c r="A1500" s="56" t="s">
        <v>2377</v>
      </c>
      <c r="M1500" s="56" t="s">
        <v>2378</v>
      </c>
    </row>
    <row r="1501">
      <c r="A1501" s="56" t="s">
        <v>2379</v>
      </c>
      <c r="M1501" s="56" t="s">
        <v>2380</v>
      </c>
    </row>
    <row r="1502">
      <c r="A1502" s="56" t="s">
        <v>1836</v>
      </c>
      <c r="M1502" s="56" t="s">
        <v>2381</v>
      </c>
    </row>
    <row r="1503">
      <c r="A1503" s="56" t="s">
        <v>1731</v>
      </c>
      <c r="M1503" s="56" t="s">
        <v>2382</v>
      </c>
    </row>
    <row r="1504">
      <c r="A1504" s="56" t="s">
        <v>1724</v>
      </c>
      <c r="M1504" s="56" t="s">
        <v>1431</v>
      </c>
    </row>
    <row r="1505">
      <c r="A1505" s="56" t="s">
        <v>1733</v>
      </c>
      <c r="M1505" s="56" t="s">
        <v>2080</v>
      </c>
    </row>
    <row r="1506">
      <c r="A1506" s="56" t="s">
        <v>932</v>
      </c>
      <c r="M1506" s="56" t="s">
        <v>2081</v>
      </c>
    </row>
    <row r="1508">
      <c r="A1508" s="56" t="s">
        <v>2383</v>
      </c>
      <c r="M1508" s="56" t="s">
        <v>2384</v>
      </c>
    </row>
    <row r="1509">
      <c r="A1509" s="56" t="s">
        <v>2377</v>
      </c>
    </row>
    <row r="1510">
      <c r="A1510" s="56" t="s">
        <v>2379</v>
      </c>
      <c r="M1510" s="56" t="s">
        <v>2385</v>
      </c>
    </row>
    <row r="1511">
      <c r="A1511" s="56" t="s">
        <v>1836</v>
      </c>
      <c r="M1511" s="56" t="s">
        <v>2221</v>
      </c>
    </row>
    <row r="1512">
      <c r="A1512" s="56" t="s">
        <v>972</v>
      </c>
      <c r="M1512" s="56" t="s">
        <v>2222</v>
      </c>
    </row>
    <row r="1513">
      <c r="A1513" s="56" t="s">
        <v>1020</v>
      </c>
      <c r="M1513" s="56" t="s">
        <v>2386</v>
      </c>
    </row>
    <row r="1514">
      <c r="A1514" s="56" t="s">
        <v>1124</v>
      </c>
      <c r="M1514" s="56" t="s">
        <v>2387</v>
      </c>
    </row>
    <row r="1515">
      <c r="A1515" s="56" t="s">
        <v>1044</v>
      </c>
      <c r="M1515" s="56" t="s">
        <v>2226</v>
      </c>
    </row>
    <row r="1516">
      <c r="A1516" s="56" t="s">
        <v>1052</v>
      </c>
      <c r="M1516" s="56" t="s">
        <v>2227</v>
      </c>
    </row>
    <row r="1517">
      <c r="A1517" s="56" t="s">
        <v>1036</v>
      </c>
      <c r="M1517" s="56" t="s">
        <v>2388</v>
      </c>
    </row>
    <row r="1518">
      <c r="A1518" s="56" t="s">
        <v>932</v>
      </c>
      <c r="M1518" s="56" t="s">
        <v>2389</v>
      </c>
    </row>
    <row r="1519">
      <c r="M1519" s="56" t="s">
        <v>2390</v>
      </c>
    </row>
    <row r="1520">
      <c r="A1520" s="56" t="s">
        <v>2391</v>
      </c>
      <c r="M1520" s="56" t="s">
        <v>2080</v>
      </c>
    </row>
    <row r="1521">
      <c r="A1521" s="56" t="s">
        <v>1044</v>
      </c>
      <c r="M1521" s="56" t="s">
        <v>932</v>
      </c>
    </row>
    <row r="1522">
      <c r="A1522" s="56" t="s">
        <v>1858</v>
      </c>
    </row>
    <row r="1523">
      <c r="A1523" s="56" t="s">
        <v>1036</v>
      </c>
      <c r="M1523" s="56" t="s">
        <v>2392</v>
      </c>
    </row>
    <row r="1524">
      <c r="A1524" s="56" t="s">
        <v>948</v>
      </c>
      <c r="M1524" s="56" t="s">
        <v>2393</v>
      </c>
    </row>
    <row r="1525">
      <c r="A1525" s="56" t="s">
        <v>2025</v>
      </c>
      <c r="M1525" s="56" t="s">
        <v>2394</v>
      </c>
    </row>
    <row r="1526">
      <c r="A1526" s="56" t="s">
        <v>932</v>
      </c>
      <c r="M1526" s="56" t="s">
        <v>2395</v>
      </c>
    </row>
    <row r="1527">
      <c r="M1527" s="56" t="s">
        <v>2396</v>
      </c>
    </row>
    <row r="1528">
      <c r="A1528" s="56" t="s">
        <v>2397</v>
      </c>
      <c r="M1528" s="56" t="s">
        <v>2398</v>
      </c>
    </row>
    <row r="1529">
      <c r="A1529" s="56" t="s">
        <v>972</v>
      </c>
      <c r="M1529" s="56" t="s">
        <v>2399</v>
      </c>
    </row>
    <row r="1530">
      <c r="A1530" s="56" t="s">
        <v>1020</v>
      </c>
      <c r="M1530" s="56" t="s">
        <v>2400</v>
      </c>
    </row>
    <row r="1531">
      <c r="A1531" s="56" t="s">
        <v>1021</v>
      </c>
      <c r="M1531" s="56" t="s">
        <v>2401</v>
      </c>
    </row>
    <row r="1532">
      <c r="A1532" s="56" t="s">
        <v>2402</v>
      </c>
      <c r="M1532" s="56" t="s">
        <v>932</v>
      </c>
    </row>
    <row r="1533">
      <c r="A1533" s="56" t="s">
        <v>932</v>
      </c>
    </row>
    <row r="1534">
      <c r="M1534" s="56" t="s">
        <v>1829</v>
      </c>
    </row>
    <row r="1535">
      <c r="A1535" s="56" t="s">
        <v>2403</v>
      </c>
      <c r="M1535" s="56" t="s">
        <v>2404</v>
      </c>
    </row>
    <row r="1536">
      <c r="A1536" s="56" t="s">
        <v>979</v>
      </c>
      <c r="M1536" s="56" t="s">
        <v>1829</v>
      </c>
    </row>
    <row r="1537">
      <c r="A1537" s="56" t="s">
        <v>1149</v>
      </c>
      <c r="M1537" s="56" t="s">
        <v>2405</v>
      </c>
    </row>
    <row r="1538">
      <c r="A1538" s="56" t="s">
        <v>1548</v>
      </c>
      <c r="M1538" s="56" t="s">
        <v>2406</v>
      </c>
    </row>
    <row r="1539">
      <c r="A1539" s="56" t="s">
        <v>1867</v>
      </c>
      <c r="M1539" s="56" t="s">
        <v>2407</v>
      </c>
    </row>
    <row r="1540">
      <c r="A1540" s="56" t="s">
        <v>1006</v>
      </c>
      <c r="M1540" s="56" t="s">
        <v>2408</v>
      </c>
    </row>
    <row r="1541">
      <c r="A1541" s="56" t="s">
        <v>2409</v>
      </c>
      <c r="M1541" s="56" t="s">
        <v>2410</v>
      </c>
    </row>
    <row r="1542">
      <c r="A1542" s="56" t="s">
        <v>932</v>
      </c>
      <c r="M1542" s="56" t="s">
        <v>2411</v>
      </c>
    </row>
    <row r="1543">
      <c r="M1543" s="56" t="s">
        <v>2412</v>
      </c>
    </row>
    <row r="1544">
      <c r="A1544" s="56" t="s">
        <v>2413</v>
      </c>
    </row>
    <row r="1545">
      <c r="A1545" s="56" t="s">
        <v>945</v>
      </c>
      <c r="M1545" s="56" t="s">
        <v>2414</v>
      </c>
    </row>
    <row r="1546">
      <c r="A1546" s="56" t="s">
        <v>1867</v>
      </c>
      <c r="M1546" s="56" t="s">
        <v>2415</v>
      </c>
    </row>
    <row r="1547">
      <c r="A1547" s="56" t="s">
        <v>2416</v>
      </c>
      <c r="M1547" s="56" t="s">
        <v>2417</v>
      </c>
    </row>
    <row r="1548">
      <c r="A1548" s="56" t="s">
        <v>932</v>
      </c>
      <c r="M1548" s="56" t="s">
        <v>2418</v>
      </c>
    </row>
    <row r="1549">
      <c r="M1549" s="56" t="s">
        <v>2419</v>
      </c>
    </row>
    <row r="1550">
      <c r="A1550" s="56" t="s">
        <v>2420</v>
      </c>
      <c r="M1550" s="56" t="s">
        <v>2421</v>
      </c>
    </row>
    <row r="1551">
      <c r="A1551" s="56" t="s">
        <v>1044</v>
      </c>
      <c r="M1551" s="56" t="s">
        <v>932</v>
      </c>
    </row>
    <row r="1552">
      <c r="A1552" s="56" t="s">
        <v>1052</v>
      </c>
      <c r="M1552" s="56" t="s">
        <v>2422</v>
      </c>
    </row>
    <row r="1553">
      <c r="A1553" s="56" t="s">
        <v>966</v>
      </c>
      <c r="M1553" s="56" t="s">
        <v>2423</v>
      </c>
    </row>
    <row r="1554">
      <c r="A1554" s="56" t="s">
        <v>2377</v>
      </c>
      <c r="M1554" s="56" t="s">
        <v>2424</v>
      </c>
    </row>
    <row r="1555">
      <c r="A1555" s="56" t="s">
        <v>2025</v>
      </c>
      <c r="M1555" s="56" t="s">
        <v>2425</v>
      </c>
    </row>
    <row r="1556">
      <c r="A1556" s="56" t="s">
        <v>932</v>
      </c>
      <c r="M1556" s="56" t="s">
        <v>2426</v>
      </c>
    </row>
    <row r="1557">
      <c r="M1557" s="56" t="s">
        <v>2427</v>
      </c>
    </row>
    <row r="1558">
      <c r="A1558" s="56" t="s">
        <v>2428</v>
      </c>
      <c r="M1558" s="56" t="s">
        <v>2429</v>
      </c>
    </row>
    <row r="1559">
      <c r="A1559" s="56" t="s">
        <v>2430</v>
      </c>
      <c r="M1559" s="56" t="s">
        <v>1874</v>
      </c>
    </row>
    <row r="1560">
      <c r="A1560" s="56" t="s">
        <v>1362</v>
      </c>
      <c r="M1560" s="56" t="s">
        <v>932</v>
      </c>
    </row>
    <row r="1561">
      <c r="A1561" s="56" t="s">
        <v>1460</v>
      </c>
      <c r="M1561" s="56" t="s">
        <v>2431</v>
      </c>
    </row>
    <row r="1562">
      <c r="A1562" s="56" t="s">
        <v>1365</v>
      </c>
      <c r="M1562" s="56" t="s">
        <v>2432</v>
      </c>
    </row>
    <row r="1563">
      <c r="A1563" s="56" t="s">
        <v>2433</v>
      </c>
      <c r="M1563" s="56" t="s">
        <v>2434</v>
      </c>
    </row>
    <row r="1564">
      <c r="A1564" s="56" t="s">
        <v>932</v>
      </c>
      <c r="M1564" s="56" t="s">
        <v>2435</v>
      </c>
    </row>
    <row r="1565">
      <c r="M1565" s="56" t="s">
        <v>2436</v>
      </c>
    </row>
    <row r="1566">
      <c r="A1566" s="56" t="s">
        <v>2437</v>
      </c>
      <c r="M1566" s="56" t="s">
        <v>2438</v>
      </c>
    </row>
    <row r="1567">
      <c r="A1567" s="56" t="s">
        <v>2430</v>
      </c>
      <c r="M1567" s="56" t="s">
        <v>932</v>
      </c>
    </row>
    <row r="1568">
      <c r="A1568" s="56" t="s">
        <v>1469</v>
      </c>
      <c r="M1568" s="56" t="s">
        <v>2439</v>
      </c>
    </row>
    <row r="1569">
      <c r="A1569" s="56" t="s">
        <v>932</v>
      </c>
      <c r="M1569" s="56" t="s">
        <v>2440</v>
      </c>
    </row>
    <row r="1570">
      <c r="A1570" s="56" t="s">
        <v>932</v>
      </c>
      <c r="M1570" s="56" t="s">
        <v>2441</v>
      </c>
    </row>
    <row r="1571">
      <c r="M1571" s="56" t="s">
        <v>2442</v>
      </c>
    </row>
    <row r="1572">
      <c r="A1572" s="56" t="s">
        <v>2443</v>
      </c>
      <c r="M1572" s="56" t="s">
        <v>2444</v>
      </c>
    </row>
    <row r="1573">
      <c r="A1573" s="56" t="s">
        <v>1171</v>
      </c>
      <c r="M1573" s="56" t="s">
        <v>2445</v>
      </c>
    </row>
    <row r="1574">
      <c r="A1574" s="56" t="s">
        <v>1172</v>
      </c>
      <c r="M1574" s="56" t="s">
        <v>2446</v>
      </c>
    </row>
    <row r="1575">
      <c r="A1575" s="56" t="s">
        <v>1703</v>
      </c>
      <c r="M1575" s="56" t="s">
        <v>2447</v>
      </c>
    </row>
    <row r="1576">
      <c r="A1576" s="56" t="s">
        <v>1006</v>
      </c>
      <c r="M1576" s="56" t="s">
        <v>2448</v>
      </c>
    </row>
    <row r="1577">
      <c r="A1577" s="56" t="s">
        <v>972</v>
      </c>
      <c r="M1577" s="56" t="s">
        <v>2449</v>
      </c>
    </row>
    <row r="1578">
      <c r="A1578" s="56" t="s">
        <v>981</v>
      </c>
      <c r="M1578" s="56" t="s">
        <v>2450</v>
      </c>
    </row>
    <row r="1579">
      <c r="A1579" s="56" t="s">
        <v>2451</v>
      </c>
      <c r="M1579" s="56" t="s">
        <v>2452</v>
      </c>
    </row>
    <row r="1580">
      <c r="A1580" s="56" t="s">
        <v>932</v>
      </c>
      <c r="M1580" s="56" t="s">
        <v>2217</v>
      </c>
    </row>
    <row r="1581">
      <c r="M1581" s="56" t="s">
        <v>2081</v>
      </c>
    </row>
    <row r="1582">
      <c r="A1582" s="56" t="s">
        <v>2453</v>
      </c>
      <c r="M1582" s="56" t="s">
        <v>2454</v>
      </c>
    </row>
    <row r="1583">
      <c r="A1583" s="56" t="s">
        <v>972</v>
      </c>
      <c r="M1583" s="56" t="s">
        <v>2455</v>
      </c>
    </row>
    <row r="1584">
      <c r="A1584" s="56" t="s">
        <v>1020</v>
      </c>
      <c r="M1584" s="56" t="s">
        <v>2456</v>
      </c>
    </row>
    <row r="1585">
      <c r="A1585" s="56" t="s">
        <v>1181</v>
      </c>
      <c r="M1585" s="56" t="s">
        <v>2457</v>
      </c>
    </row>
    <row r="1586">
      <c r="A1586" s="56" t="s">
        <v>2458</v>
      </c>
      <c r="M1586" s="56" t="s">
        <v>2459</v>
      </c>
    </row>
    <row r="1587">
      <c r="A1587" s="56" t="s">
        <v>1119</v>
      </c>
      <c r="M1587" s="56" t="s">
        <v>2460</v>
      </c>
    </row>
    <row r="1588">
      <c r="A1588" s="56" t="s">
        <v>2461</v>
      </c>
      <c r="M1588" s="56" t="s">
        <v>2217</v>
      </c>
    </row>
    <row r="1589">
      <c r="A1589" s="56" t="s">
        <v>932</v>
      </c>
      <c r="M1589" s="56" t="s">
        <v>932</v>
      </c>
    </row>
    <row r="1590">
      <c r="M1590" s="56" t="s">
        <v>2462</v>
      </c>
    </row>
    <row r="1591">
      <c r="A1591" s="56" t="s">
        <v>2463</v>
      </c>
      <c r="M1591" s="56" t="s">
        <v>2464</v>
      </c>
    </row>
    <row r="1592">
      <c r="A1592" s="56" t="s">
        <v>972</v>
      </c>
      <c r="M1592" s="56" t="s">
        <v>2465</v>
      </c>
    </row>
    <row r="1593">
      <c r="A1593" s="56" t="s">
        <v>1020</v>
      </c>
      <c r="M1593" s="56" t="s">
        <v>2466</v>
      </c>
    </row>
    <row r="1594">
      <c r="A1594" s="56" t="s">
        <v>2467</v>
      </c>
      <c r="M1594" s="56" t="s">
        <v>2468</v>
      </c>
    </row>
    <row r="1595">
      <c r="A1595" s="56" t="s">
        <v>932</v>
      </c>
      <c r="M1595" s="56" t="s">
        <v>2469</v>
      </c>
    </row>
    <row r="1596">
      <c r="M1596" s="56" t="s">
        <v>932</v>
      </c>
    </row>
    <row r="1597">
      <c r="A1597" s="56" t="s">
        <v>2470</v>
      </c>
      <c r="M1597" s="56" t="s">
        <v>2471</v>
      </c>
    </row>
    <row r="1598">
      <c r="A1598" s="56" t="s">
        <v>1027</v>
      </c>
      <c r="M1598" s="56" t="s">
        <v>2472</v>
      </c>
    </row>
    <row r="1599">
      <c r="A1599" s="56" t="s">
        <v>1028</v>
      </c>
      <c r="M1599" s="56" t="s">
        <v>2473</v>
      </c>
    </row>
    <row r="1600">
      <c r="A1600" s="56" t="s">
        <v>1031</v>
      </c>
      <c r="M1600" s="56" t="s">
        <v>2474</v>
      </c>
    </row>
    <row r="1601">
      <c r="A1601" s="56" t="s">
        <v>1153</v>
      </c>
      <c r="M1601" s="56" t="s">
        <v>2475</v>
      </c>
    </row>
    <row r="1602">
      <c r="A1602" s="56" t="s">
        <v>1005</v>
      </c>
      <c r="M1602" s="56" t="s">
        <v>2476</v>
      </c>
    </row>
    <row r="1603">
      <c r="A1603" s="56" t="s">
        <v>932</v>
      </c>
      <c r="M1603" s="56" t="s">
        <v>2477</v>
      </c>
    </row>
    <row r="1604">
      <c r="M1604" s="56" t="s">
        <v>2478</v>
      </c>
    </row>
    <row r="1605">
      <c r="A1605" s="56" t="s">
        <v>2479</v>
      </c>
      <c r="M1605" s="56" t="s">
        <v>932</v>
      </c>
    </row>
    <row r="1606">
      <c r="A1606" s="56" t="s">
        <v>1036</v>
      </c>
      <c r="M1606" s="56" t="s">
        <v>2480</v>
      </c>
    </row>
    <row r="1607">
      <c r="A1607" s="56" t="s">
        <v>1063</v>
      </c>
      <c r="M1607" s="56" t="s">
        <v>2440</v>
      </c>
    </row>
    <row r="1608">
      <c r="A1608" s="56" t="s">
        <v>2481</v>
      </c>
      <c r="M1608" s="56" t="s">
        <v>2482</v>
      </c>
    </row>
    <row r="1609">
      <c r="A1609" s="56" t="s">
        <v>932</v>
      </c>
      <c r="M1609" s="56" t="s">
        <v>2483</v>
      </c>
    </row>
    <row r="1610">
      <c r="M1610" s="56" t="s">
        <v>2484</v>
      </c>
    </row>
    <row r="1611">
      <c r="A1611" s="56" t="s">
        <v>2485</v>
      </c>
      <c r="M1611" s="56" t="s">
        <v>2486</v>
      </c>
    </row>
    <row r="1612">
      <c r="A1612" s="56" t="s">
        <v>1044</v>
      </c>
      <c r="M1612" s="56" t="s">
        <v>932</v>
      </c>
    </row>
    <row r="1613">
      <c r="A1613" s="56" t="s">
        <v>1052</v>
      </c>
      <c r="M1613" s="56" t="s">
        <v>2487</v>
      </c>
    </row>
    <row r="1614">
      <c r="A1614" s="56" t="s">
        <v>966</v>
      </c>
      <c r="M1614" s="56" t="s">
        <v>2488</v>
      </c>
    </row>
    <row r="1615">
      <c r="A1615" s="56" t="s">
        <v>2489</v>
      </c>
      <c r="M1615" s="56" t="s">
        <v>2490</v>
      </c>
    </row>
    <row r="1616">
      <c r="A1616" s="56" t="s">
        <v>951</v>
      </c>
      <c r="M1616" s="56" t="s">
        <v>2491</v>
      </c>
    </row>
    <row r="1617">
      <c r="A1617" s="56" t="s">
        <v>2084</v>
      </c>
      <c r="M1617" s="56" t="s">
        <v>932</v>
      </c>
    </row>
    <row r="1618">
      <c r="A1618" s="56" t="s">
        <v>1099</v>
      </c>
      <c r="M1618" s="56" t="s">
        <v>2492</v>
      </c>
    </row>
    <row r="1619">
      <c r="A1619" s="56" t="s">
        <v>1172</v>
      </c>
      <c r="M1619" s="56" t="s">
        <v>2493</v>
      </c>
    </row>
    <row r="1620">
      <c r="A1620" s="56" t="s">
        <v>932</v>
      </c>
      <c r="M1620" s="56" t="s">
        <v>2494</v>
      </c>
    </row>
    <row r="1621">
      <c r="M1621" s="56" t="s">
        <v>2495</v>
      </c>
    </row>
    <row r="1622">
      <c r="A1622" s="56" t="s">
        <v>2496</v>
      </c>
      <c r="M1622" s="56" t="s">
        <v>2497</v>
      </c>
    </row>
    <row r="1623">
      <c r="A1623" s="56" t="s">
        <v>2498</v>
      </c>
      <c r="M1623" s="56" t="s">
        <v>2499</v>
      </c>
    </row>
    <row r="1624">
      <c r="A1624" s="56" t="s">
        <v>2500</v>
      </c>
      <c r="M1624" s="56" t="s">
        <v>2501</v>
      </c>
    </row>
    <row r="1625">
      <c r="A1625" s="56" t="s">
        <v>2502</v>
      </c>
      <c r="M1625" s="56" t="s">
        <v>2503</v>
      </c>
    </row>
    <row r="1626">
      <c r="A1626" s="56" t="s">
        <v>932</v>
      </c>
      <c r="M1626" s="56" t="s">
        <v>2504</v>
      </c>
    </row>
    <row r="1627">
      <c r="M1627" s="56" t="s">
        <v>2505</v>
      </c>
    </row>
    <row r="1628">
      <c r="A1628" s="56" t="s">
        <v>2506</v>
      </c>
      <c r="M1628" s="56" t="s">
        <v>2507</v>
      </c>
    </row>
    <row r="1629">
      <c r="A1629" s="56" t="s">
        <v>2508</v>
      </c>
      <c r="M1629" s="56" t="s">
        <v>932</v>
      </c>
    </row>
    <row r="1630">
      <c r="A1630" s="56" t="s">
        <v>932</v>
      </c>
      <c r="M1630" s="56" t="s">
        <v>2509</v>
      </c>
    </row>
    <row r="1631">
      <c r="M1631" s="56" t="s">
        <v>2510</v>
      </c>
    </row>
    <row r="1632">
      <c r="A1632" s="56" t="s">
        <v>2511</v>
      </c>
      <c r="M1632" s="56" t="s">
        <v>1929</v>
      </c>
    </row>
    <row r="1633">
      <c r="A1633" s="56" t="s">
        <v>2512</v>
      </c>
      <c r="M1633" s="56" t="s">
        <v>2110</v>
      </c>
    </row>
    <row r="1634">
      <c r="A1634" s="56" t="s">
        <v>932</v>
      </c>
      <c r="M1634" s="56" t="s">
        <v>2513</v>
      </c>
    </row>
    <row r="1635">
      <c r="M1635" s="56" t="s">
        <v>2514</v>
      </c>
    </row>
    <row r="1636">
      <c r="A1636" s="56" t="s">
        <v>2515</v>
      </c>
      <c r="M1636" s="56" t="s">
        <v>2516</v>
      </c>
    </row>
    <row r="1637">
      <c r="A1637" s="56" t="s">
        <v>2517</v>
      </c>
      <c r="M1637" s="56" t="s">
        <v>2518</v>
      </c>
    </row>
    <row r="1638">
      <c r="A1638" s="56" t="s">
        <v>2512</v>
      </c>
      <c r="M1638" s="56" t="s">
        <v>2419</v>
      </c>
    </row>
    <row r="1639">
      <c r="A1639" s="56" t="s">
        <v>2519</v>
      </c>
      <c r="M1639" s="56" t="s">
        <v>2520</v>
      </c>
    </row>
    <row r="1640">
      <c r="A1640" s="56" t="s">
        <v>932</v>
      </c>
      <c r="M1640" s="56" t="s">
        <v>1946</v>
      </c>
    </row>
    <row r="1641">
      <c r="M1641" s="56" t="s">
        <v>2521</v>
      </c>
    </row>
    <row r="1642">
      <c r="A1642" s="56" t="s">
        <v>2522</v>
      </c>
      <c r="M1642" s="56" t="s">
        <v>2523</v>
      </c>
    </row>
    <row r="1643">
      <c r="A1643" s="56" t="s">
        <v>2524</v>
      </c>
      <c r="M1643" s="56" t="s">
        <v>932</v>
      </c>
    </row>
    <row r="1644">
      <c r="A1644" s="56" t="s">
        <v>2525</v>
      </c>
      <c r="M1644" s="56" t="s">
        <v>2526</v>
      </c>
    </row>
    <row r="1645">
      <c r="A1645" s="56" t="s">
        <v>932</v>
      </c>
    </row>
    <row r="1646">
      <c r="M1646" s="56" t="s">
        <v>1829</v>
      </c>
    </row>
    <row r="1647">
      <c r="A1647" s="56" t="s">
        <v>2527</v>
      </c>
      <c r="M1647" s="56" t="s">
        <v>2528</v>
      </c>
    </row>
    <row r="1648">
      <c r="A1648" s="56" t="s">
        <v>2529</v>
      </c>
      <c r="M1648" s="56" t="s">
        <v>1829</v>
      </c>
    </row>
    <row r="1649">
      <c r="A1649" s="56" t="s">
        <v>932</v>
      </c>
      <c r="M1649" s="56" t="s">
        <v>2530</v>
      </c>
    </row>
    <row r="1650">
      <c r="M1650" s="56" t="s">
        <v>2531</v>
      </c>
    </row>
    <row r="1651">
      <c r="A1651" s="56" t="s">
        <v>2532</v>
      </c>
      <c r="M1651" s="56" t="s">
        <v>2533</v>
      </c>
    </row>
    <row r="1652">
      <c r="A1652" s="56" t="s">
        <v>2534</v>
      </c>
      <c r="M1652" s="56" t="s">
        <v>2535</v>
      </c>
    </row>
    <row r="1653">
      <c r="A1653" s="56" t="s">
        <v>932</v>
      </c>
      <c r="M1653" s="56" t="s">
        <v>2536</v>
      </c>
    </row>
    <row r="1654">
      <c r="M1654" s="56" t="s">
        <v>932</v>
      </c>
    </row>
    <row r="1655">
      <c r="A1655" s="56" t="s">
        <v>2537</v>
      </c>
      <c r="M1655" s="56" t="s">
        <v>2538</v>
      </c>
    </row>
    <row r="1656">
      <c r="A1656" s="56" t="s">
        <v>2517</v>
      </c>
      <c r="M1656" s="56" t="s">
        <v>2539</v>
      </c>
    </row>
    <row r="1657">
      <c r="A1657" s="56" t="s">
        <v>2534</v>
      </c>
      <c r="M1657" s="56" t="s">
        <v>2540</v>
      </c>
    </row>
    <row r="1658">
      <c r="A1658" s="56" t="s">
        <v>2541</v>
      </c>
      <c r="M1658" s="56" t="s">
        <v>932</v>
      </c>
    </row>
    <row r="1659">
      <c r="A1659" s="56" t="s">
        <v>932</v>
      </c>
      <c r="M1659" s="56" t="s">
        <v>932</v>
      </c>
    </row>
    <row r="1660">
      <c r="M1660" s="56" t="s">
        <v>2542</v>
      </c>
    </row>
    <row r="1661">
      <c r="A1661" s="56" t="s">
        <v>2543</v>
      </c>
      <c r="M1661" s="56" t="s">
        <v>2544</v>
      </c>
    </row>
    <row r="1662">
      <c r="A1662" s="56" t="s">
        <v>2461</v>
      </c>
      <c r="M1662" s="56" t="s">
        <v>2545</v>
      </c>
    </row>
    <row r="1663">
      <c r="A1663" s="56" t="s">
        <v>932</v>
      </c>
      <c r="M1663" s="56" t="s">
        <v>2546</v>
      </c>
    </row>
    <row r="1664">
      <c r="M1664" s="56" t="s">
        <v>2547</v>
      </c>
    </row>
    <row r="1665">
      <c r="A1665" s="56" t="s">
        <v>2548</v>
      </c>
      <c r="M1665" s="56" t="s">
        <v>932</v>
      </c>
    </row>
    <row r="1666">
      <c r="A1666" s="56" t="s">
        <v>2549</v>
      </c>
      <c r="M1666" s="56" t="s">
        <v>2550</v>
      </c>
    </row>
    <row r="1667">
      <c r="A1667" s="56" t="s">
        <v>932</v>
      </c>
      <c r="M1667" s="56" t="s">
        <v>2551</v>
      </c>
    </row>
    <row r="1668">
      <c r="M1668" s="56" t="s">
        <v>2552</v>
      </c>
    </row>
    <row r="1669">
      <c r="A1669" s="56" t="s">
        <v>2553</v>
      </c>
      <c r="M1669" s="56" t="s">
        <v>2554</v>
      </c>
    </row>
    <row r="1670">
      <c r="A1670" s="56" t="s">
        <v>979</v>
      </c>
      <c r="M1670" s="56" t="s">
        <v>2488</v>
      </c>
    </row>
    <row r="1671">
      <c r="A1671" s="56" t="s">
        <v>1006</v>
      </c>
      <c r="M1671" s="56" t="s">
        <v>2555</v>
      </c>
    </row>
    <row r="1672">
      <c r="A1672" s="56" t="s">
        <v>932</v>
      </c>
      <c r="M1672" s="56" t="s">
        <v>2556</v>
      </c>
    </row>
    <row r="1673">
      <c r="M1673" s="56" t="s">
        <v>2557</v>
      </c>
    </row>
    <row r="1674">
      <c r="A1674" s="56" t="s">
        <v>2558</v>
      </c>
      <c r="M1674" s="56" t="s">
        <v>2559</v>
      </c>
    </row>
    <row r="1675">
      <c r="A1675" s="56" t="s">
        <v>2560</v>
      </c>
      <c r="M1675" s="56" t="s">
        <v>2561</v>
      </c>
    </row>
    <row r="1676">
      <c r="A1676" s="56" t="s">
        <v>932</v>
      </c>
      <c r="M1676" s="56" t="s">
        <v>932</v>
      </c>
    </row>
    <row r="1677">
      <c r="M1677" s="56" t="s">
        <v>2562</v>
      </c>
    </row>
    <row r="1678">
      <c r="A1678" s="56" t="s">
        <v>2563</v>
      </c>
      <c r="M1678" s="56" t="s">
        <v>2564</v>
      </c>
    </row>
    <row r="1679">
      <c r="A1679" s="56" t="s">
        <v>2565</v>
      </c>
      <c r="M1679" s="56" t="s">
        <v>2566</v>
      </c>
    </row>
    <row r="1680">
      <c r="A1680" s="56" t="s">
        <v>1571</v>
      </c>
      <c r="M1680" s="56" t="s">
        <v>2567</v>
      </c>
    </row>
    <row r="1681">
      <c r="A1681" s="56" t="s">
        <v>1326</v>
      </c>
      <c r="M1681" s="56" t="s">
        <v>2568</v>
      </c>
    </row>
    <row r="1682">
      <c r="A1682" s="56" t="s">
        <v>1196</v>
      </c>
      <c r="M1682" s="56" t="s">
        <v>2547</v>
      </c>
    </row>
    <row r="1683">
      <c r="A1683" s="56" t="s">
        <v>1044</v>
      </c>
      <c r="M1683" s="56" t="s">
        <v>932</v>
      </c>
    </row>
    <row r="1684">
      <c r="A1684" s="56" t="s">
        <v>932</v>
      </c>
      <c r="M1684" s="56" t="s">
        <v>2569</v>
      </c>
    </row>
    <row r="1685">
      <c r="M1685" s="56" t="s">
        <v>2552</v>
      </c>
    </row>
    <row r="1686">
      <c r="A1686" s="56" t="s">
        <v>2570</v>
      </c>
      <c r="M1686" s="56" t="s">
        <v>2554</v>
      </c>
    </row>
    <row r="1687">
      <c r="A1687" s="56" t="s">
        <v>2571</v>
      </c>
      <c r="M1687" s="56" t="s">
        <v>2572</v>
      </c>
    </row>
    <row r="1688">
      <c r="A1688" s="56" t="s">
        <v>2288</v>
      </c>
      <c r="M1688" s="56" t="s">
        <v>2573</v>
      </c>
    </row>
    <row r="1689">
      <c r="A1689" s="56" t="s">
        <v>2574</v>
      </c>
      <c r="M1689" s="56" t="s">
        <v>2575</v>
      </c>
    </row>
    <row r="1690">
      <c r="A1690" s="56" t="s">
        <v>1119</v>
      </c>
    </row>
    <row r="1691">
      <c r="A1691" s="56" t="s">
        <v>1309</v>
      </c>
      <c r="M1691" s="56" t="s">
        <v>2576</v>
      </c>
    </row>
    <row r="1692">
      <c r="A1692" s="56" t="s">
        <v>932</v>
      </c>
      <c r="M1692" s="56" t="s">
        <v>2577</v>
      </c>
    </row>
    <row r="1694">
      <c r="A1694" s="56" t="s">
        <v>2578</v>
      </c>
      <c r="M1694" s="56" t="s">
        <v>1929</v>
      </c>
    </row>
    <row r="1695">
      <c r="A1695" s="56" t="s">
        <v>1677</v>
      </c>
      <c r="M1695" s="56" t="s">
        <v>2110</v>
      </c>
    </row>
    <row r="1696">
      <c r="A1696" s="56" t="s">
        <v>932</v>
      </c>
      <c r="M1696" s="56" t="s">
        <v>2579</v>
      </c>
    </row>
    <row r="1697">
      <c r="M1697" s="56" t="s">
        <v>2580</v>
      </c>
    </row>
    <row r="1698">
      <c r="A1698" s="56" t="s">
        <v>2581</v>
      </c>
      <c r="M1698" s="56" t="s">
        <v>2582</v>
      </c>
    </row>
    <row r="1699">
      <c r="A1699" s="56" t="s">
        <v>1362</v>
      </c>
      <c r="M1699" s="56" t="s">
        <v>1946</v>
      </c>
    </row>
    <row r="1700">
      <c r="A1700" s="56" t="s">
        <v>2583</v>
      </c>
      <c r="M1700" s="56" t="s">
        <v>2584</v>
      </c>
    </row>
    <row r="1701">
      <c r="A1701" s="56" t="s">
        <v>1021</v>
      </c>
      <c r="M1701" s="56" t="s">
        <v>2585</v>
      </c>
    </row>
    <row r="1702">
      <c r="A1702" s="56" t="s">
        <v>1020</v>
      </c>
      <c r="M1702" s="56" t="s">
        <v>932</v>
      </c>
    </row>
    <row r="1703">
      <c r="A1703" s="56" t="s">
        <v>1076</v>
      </c>
    </row>
    <row r="1704">
      <c r="A1704" s="56" t="s">
        <v>1061</v>
      </c>
      <c r="M1704" s="56" t="s">
        <v>1829</v>
      </c>
    </row>
    <row r="1705">
      <c r="A1705" s="56" t="s">
        <v>932</v>
      </c>
      <c r="M1705" s="56" t="s">
        <v>2586</v>
      </c>
    </row>
    <row r="1706">
      <c r="M1706" s="56" t="s">
        <v>1829</v>
      </c>
    </row>
    <row r="1707">
      <c r="A1707" s="56" t="s">
        <v>2587</v>
      </c>
      <c r="M1707" s="56" t="s">
        <v>2588</v>
      </c>
    </row>
    <row r="1708">
      <c r="A1708" s="56" t="s">
        <v>2589</v>
      </c>
      <c r="M1708" s="56" t="s">
        <v>2590</v>
      </c>
    </row>
    <row r="1709">
      <c r="A1709" s="56" t="s">
        <v>932</v>
      </c>
      <c r="M1709" s="56" t="s">
        <v>1929</v>
      </c>
    </row>
    <row r="1710">
      <c r="M1710" s="56" t="s">
        <v>2591</v>
      </c>
    </row>
    <row r="1711">
      <c r="A1711" s="56" t="s">
        <v>2592</v>
      </c>
      <c r="M1711" s="56" t="s">
        <v>2593</v>
      </c>
    </row>
    <row r="1712">
      <c r="A1712" s="56" t="s">
        <v>1044</v>
      </c>
      <c r="M1712" s="56" t="s">
        <v>2594</v>
      </c>
    </row>
    <row r="1713">
      <c r="A1713" s="56" t="s">
        <v>1052</v>
      </c>
      <c r="M1713" s="56" t="s">
        <v>2595</v>
      </c>
    </row>
    <row r="1714">
      <c r="A1714" s="56" t="s">
        <v>966</v>
      </c>
      <c r="M1714" s="56" t="s">
        <v>2596</v>
      </c>
    </row>
    <row r="1715">
      <c r="A1715" s="56" t="s">
        <v>1659</v>
      </c>
      <c r="M1715" s="56" t="s">
        <v>2597</v>
      </c>
    </row>
    <row r="1716">
      <c r="A1716" s="56" t="s">
        <v>932</v>
      </c>
      <c r="M1716" s="56" t="s">
        <v>2598</v>
      </c>
    </row>
    <row r="1717">
      <c r="M1717" s="56" t="s">
        <v>2599</v>
      </c>
    </row>
    <row r="1718">
      <c r="A1718" s="56" t="s">
        <v>2600</v>
      </c>
      <c r="M1718" s="56" t="s">
        <v>2601</v>
      </c>
    </row>
    <row r="1719">
      <c r="A1719" s="56" t="s">
        <v>1044</v>
      </c>
      <c r="M1719" s="56" t="s">
        <v>2602</v>
      </c>
    </row>
    <row r="1720">
      <c r="A1720" s="56" t="s">
        <v>1035</v>
      </c>
      <c r="M1720" s="56" t="s">
        <v>2603</v>
      </c>
    </row>
    <row r="1721">
      <c r="A1721" s="56" t="s">
        <v>1196</v>
      </c>
      <c r="M1721" s="56" t="s">
        <v>2604</v>
      </c>
    </row>
    <row r="1722">
      <c r="A1722" s="56" t="s">
        <v>1198</v>
      </c>
      <c r="M1722" s="56" t="s">
        <v>2605</v>
      </c>
    </row>
    <row r="1723">
      <c r="A1723" s="56" t="s">
        <v>932</v>
      </c>
      <c r="M1723" s="56" t="s">
        <v>1946</v>
      </c>
    </row>
    <row r="1724">
      <c r="M1724" s="56" t="s">
        <v>2606</v>
      </c>
    </row>
    <row r="1725">
      <c r="A1725" s="56" t="s">
        <v>2607</v>
      </c>
      <c r="M1725" s="56" t="s">
        <v>2608</v>
      </c>
    </row>
    <row r="1726">
      <c r="A1726" s="56" t="s">
        <v>1326</v>
      </c>
      <c r="M1726" s="56" t="s">
        <v>932</v>
      </c>
    </row>
    <row r="1727">
      <c r="A1727" s="56" t="s">
        <v>966</v>
      </c>
    </row>
    <row r="1728">
      <c r="A1728" s="56" t="s">
        <v>932</v>
      </c>
      <c r="M1728" s="56" t="s">
        <v>1829</v>
      </c>
    </row>
    <row r="1729">
      <c r="M1729" s="56" t="s">
        <v>2609</v>
      </c>
    </row>
    <row r="1730">
      <c r="A1730" s="56" t="s">
        <v>2610</v>
      </c>
      <c r="M1730" s="56" t="s">
        <v>1829</v>
      </c>
    </row>
    <row r="1731">
      <c r="A1731" s="56" t="s">
        <v>1044</v>
      </c>
      <c r="M1731" s="56" t="s">
        <v>2611</v>
      </c>
    </row>
    <row r="1732">
      <c r="A1732" s="56" t="s">
        <v>1035</v>
      </c>
      <c r="M1732" s="56" t="s">
        <v>1929</v>
      </c>
    </row>
    <row r="1733">
      <c r="A1733" s="56" t="s">
        <v>1196</v>
      </c>
      <c r="M1733" s="56" t="s">
        <v>2612</v>
      </c>
    </row>
    <row r="1734">
      <c r="A1734" s="56" t="s">
        <v>1198</v>
      </c>
      <c r="M1734" s="56" t="s">
        <v>2613</v>
      </c>
    </row>
    <row r="1735">
      <c r="A1735" s="56" t="s">
        <v>932</v>
      </c>
      <c r="M1735" s="56" t="s">
        <v>2614</v>
      </c>
    </row>
    <row r="1736">
      <c r="M1736" s="56" t="s">
        <v>2615</v>
      </c>
    </row>
    <row r="1737">
      <c r="A1737" s="56" t="s">
        <v>2616</v>
      </c>
      <c r="M1737" s="56" t="s">
        <v>1946</v>
      </c>
    </row>
    <row r="1738">
      <c r="A1738" s="56" t="s">
        <v>1044</v>
      </c>
      <c r="M1738" s="56" t="s">
        <v>2617</v>
      </c>
    </row>
    <row r="1739">
      <c r="A1739" s="56" t="s">
        <v>948</v>
      </c>
      <c r="M1739" s="56" t="s">
        <v>932</v>
      </c>
    </row>
    <row r="1740">
      <c r="A1740" s="56" t="s">
        <v>1036</v>
      </c>
      <c r="M1740" s="56" t="s">
        <v>2618</v>
      </c>
    </row>
    <row r="1741">
      <c r="A1741" s="56" t="s">
        <v>2025</v>
      </c>
      <c r="M1741" s="56" t="s">
        <v>2619</v>
      </c>
    </row>
    <row r="1742">
      <c r="A1742" s="56" t="s">
        <v>932</v>
      </c>
      <c r="M1742" s="56" t="s">
        <v>2620</v>
      </c>
    </row>
    <row r="1743">
      <c r="M1743" s="56" t="s">
        <v>2621</v>
      </c>
    </row>
    <row r="1744">
      <c r="A1744" s="56" t="s">
        <v>2622</v>
      </c>
      <c r="M1744" s="56" t="s">
        <v>2623</v>
      </c>
    </row>
    <row r="1745">
      <c r="A1745" s="56" t="s">
        <v>972</v>
      </c>
      <c r="M1745" s="56" t="s">
        <v>2624</v>
      </c>
    </row>
    <row r="1746">
      <c r="A1746" s="56" t="s">
        <v>981</v>
      </c>
      <c r="M1746" s="56" t="s">
        <v>2625</v>
      </c>
    </row>
    <row r="1747">
      <c r="A1747" s="56" t="s">
        <v>983</v>
      </c>
      <c r="M1747" s="56" t="s">
        <v>932</v>
      </c>
    </row>
    <row r="1748">
      <c r="A1748" s="56" t="s">
        <v>1006</v>
      </c>
      <c r="M1748" s="56" t="s">
        <v>2626</v>
      </c>
    </row>
    <row r="1749">
      <c r="A1749" s="56" t="s">
        <v>932</v>
      </c>
      <c r="M1749" s="56" t="s">
        <v>2627</v>
      </c>
    </row>
    <row r="1750">
      <c r="M1750" s="56" t="s">
        <v>2628</v>
      </c>
    </row>
    <row r="1751">
      <c r="A1751" s="56" t="s">
        <v>2629</v>
      </c>
    </row>
    <row r="1752">
      <c r="A1752" s="56" t="s">
        <v>1133</v>
      </c>
      <c r="M1752" s="56" t="s">
        <v>2630</v>
      </c>
    </row>
    <row r="1753">
      <c r="A1753" s="56" t="s">
        <v>1006</v>
      </c>
      <c r="M1753" s="56" t="s">
        <v>2631</v>
      </c>
    </row>
    <row r="1754">
      <c r="A1754" s="56" t="s">
        <v>1136</v>
      </c>
      <c r="M1754" s="56" t="s">
        <v>2632</v>
      </c>
    </row>
    <row r="1755">
      <c r="A1755" s="56" t="s">
        <v>932</v>
      </c>
      <c r="M1755" s="56" t="s">
        <v>2633</v>
      </c>
    </row>
    <row r="1756">
      <c r="M1756" s="56" t="s">
        <v>2634</v>
      </c>
    </row>
    <row r="1757">
      <c r="A1757" s="56" t="s">
        <v>2635</v>
      </c>
      <c r="M1757" s="56" t="s">
        <v>2636</v>
      </c>
    </row>
    <row r="1758">
      <c r="A1758" s="56" t="s">
        <v>948</v>
      </c>
    </row>
    <row r="1759">
      <c r="A1759" s="56" t="s">
        <v>1196</v>
      </c>
      <c r="M1759" s="56" t="s">
        <v>2637</v>
      </c>
    </row>
    <row r="1760">
      <c r="A1760" s="56" t="s">
        <v>2638</v>
      </c>
      <c r="M1760" s="56" t="s">
        <v>2639</v>
      </c>
    </row>
    <row r="1761">
      <c r="A1761" s="56" t="s">
        <v>932</v>
      </c>
      <c r="M1761" s="56" t="s">
        <v>2640</v>
      </c>
    </row>
    <row r="1762">
      <c r="M1762" s="56" t="s">
        <v>2641</v>
      </c>
    </row>
    <row r="1763">
      <c r="A1763" s="56" t="s">
        <v>2642</v>
      </c>
      <c r="M1763" s="56" t="s">
        <v>2643</v>
      </c>
    </row>
    <row r="1764">
      <c r="A1764" s="56" t="s">
        <v>2038</v>
      </c>
      <c r="M1764" s="56" t="s">
        <v>2644</v>
      </c>
    </row>
    <row r="1765">
      <c r="A1765" s="56" t="s">
        <v>932</v>
      </c>
      <c r="M1765" s="56" t="s">
        <v>1910</v>
      </c>
    </row>
    <row r="1766">
      <c r="M1766" s="56" t="s">
        <v>932</v>
      </c>
    </row>
    <row r="1767">
      <c r="A1767" s="56" t="s">
        <v>2645</v>
      </c>
      <c r="M1767" s="56" t="s">
        <v>2646</v>
      </c>
    </row>
    <row r="1768">
      <c r="A1768" s="56" t="s">
        <v>2030</v>
      </c>
      <c r="M1768" s="56" t="s">
        <v>2647</v>
      </c>
    </row>
    <row r="1769">
      <c r="A1769" s="56" t="s">
        <v>2648</v>
      </c>
      <c r="M1769" s="56" t="s">
        <v>2649</v>
      </c>
    </row>
    <row r="1770">
      <c r="A1770" s="56" t="s">
        <v>1614</v>
      </c>
      <c r="M1770" s="56" t="s">
        <v>2650</v>
      </c>
    </row>
    <row r="1771">
      <c r="A1771" s="56" t="s">
        <v>2589</v>
      </c>
      <c r="M1771" s="56" t="s">
        <v>2651</v>
      </c>
    </row>
    <row r="1772">
      <c r="A1772" s="56" t="s">
        <v>932</v>
      </c>
      <c r="M1772" s="56" t="s">
        <v>2652</v>
      </c>
    </row>
    <row r="1773">
      <c r="M1773" s="56" t="s">
        <v>1910</v>
      </c>
    </row>
    <row r="1774">
      <c r="A1774" s="56" t="s">
        <v>2653</v>
      </c>
    </row>
    <row r="1775">
      <c r="A1775" s="56" t="s">
        <v>1733</v>
      </c>
      <c r="M1775" s="56" t="s">
        <v>2654</v>
      </c>
    </row>
    <row r="1776">
      <c r="A1776" s="56" t="s">
        <v>932</v>
      </c>
      <c r="M1776" s="56" t="s">
        <v>2655</v>
      </c>
    </row>
    <row r="1777">
      <c r="M1777" s="56" t="s">
        <v>2656</v>
      </c>
    </row>
    <row r="1778">
      <c r="A1778" s="56" t="s">
        <v>1404</v>
      </c>
      <c r="M1778" s="56" t="s">
        <v>2657</v>
      </c>
    </row>
    <row r="1779">
      <c r="A1779" s="56" t="s">
        <v>2658</v>
      </c>
      <c r="M1779" s="56" t="s">
        <v>2659</v>
      </c>
    </row>
    <row r="1780">
      <c r="A1780" s="56" t="s">
        <v>2660</v>
      </c>
      <c r="M1780" s="56" t="s">
        <v>2661</v>
      </c>
    </row>
    <row r="1781">
      <c r="A1781" s="56" t="s">
        <v>2662</v>
      </c>
      <c r="M1781" s="56" t="s">
        <v>2663</v>
      </c>
    </row>
    <row r="1782">
      <c r="A1782" s="56" t="s">
        <v>2664</v>
      </c>
      <c r="M1782" s="56" t="s">
        <v>2665</v>
      </c>
    </row>
    <row r="1783">
      <c r="A1783" s="56" t="s">
        <v>2666</v>
      </c>
      <c r="M1783" s="56" t="s">
        <v>2667</v>
      </c>
    </row>
    <row r="1784">
      <c r="A1784" s="56" t="s">
        <v>972</v>
      </c>
    </row>
    <row r="1785">
      <c r="A1785" s="56" t="s">
        <v>981</v>
      </c>
      <c r="M1785" s="56" t="s">
        <v>2668</v>
      </c>
    </row>
    <row r="1786">
      <c r="A1786" s="56" t="s">
        <v>1021</v>
      </c>
      <c r="M1786" s="56" t="s">
        <v>2669</v>
      </c>
    </row>
    <row r="1787">
      <c r="A1787" s="56" t="s">
        <v>1932</v>
      </c>
      <c r="M1787" s="56" t="s">
        <v>2186</v>
      </c>
    </row>
    <row r="1788">
      <c r="A1788" s="56" t="s">
        <v>932</v>
      </c>
      <c r="M1788" s="56" t="s">
        <v>2670</v>
      </c>
    </row>
    <row r="1789">
      <c r="M1789" s="56" t="s">
        <v>2671</v>
      </c>
    </row>
    <row r="1790">
      <c r="A1790" s="56" t="s">
        <v>1406</v>
      </c>
      <c r="M1790" s="56" t="s">
        <v>2005</v>
      </c>
    </row>
    <row r="1791">
      <c r="A1791" s="56" t="s">
        <v>2672</v>
      </c>
      <c r="M1791" s="56" t="s">
        <v>932</v>
      </c>
    </row>
    <row r="1792">
      <c r="A1792" s="56" t="s">
        <v>2673</v>
      </c>
    </row>
    <row r="1793">
      <c r="A1793" s="56" t="s">
        <v>1173</v>
      </c>
      <c r="M1793" s="56" t="s">
        <v>2674</v>
      </c>
    </row>
    <row r="1794">
      <c r="A1794" s="56" t="s">
        <v>2675</v>
      </c>
    </row>
    <row r="1795">
      <c r="A1795" s="56" t="s">
        <v>1063</v>
      </c>
      <c r="M1795" s="56" t="s">
        <v>2676</v>
      </c>
    </row>
    <row r="1796">
      <c r="A1796" s="56" t="s">
        <v>1064</v>
      </c>
      <c r="M1796" s="69" t="str">
        <f>+'&lt;th style="width:60px;"&gt;&lt;/th&gt;'</f>
        <v>#ERROR!</v>
      </c>
    </row>
    <row r="1797">
      <c r="A1797" s="56" t="s">
        <v>2677</v>
      </c>
      <c r="M1797" s="69" t="str">
        <f>+'&lt;th&gt;SKU Identity&lt;/th&gt;'</f>
        <v>#ERROR!</v>
      </c>
    </row>
    <row r="1798">
      <c r="A1798" s="56" t="s">
        <v>2678</v>
      </c>
      <c r="M1798" s="69" t="str">
        <f>+'&lt;th style="text-align:right;"&gt;Manufactured&lt;/th&gt;'</f>
        <v>#ERROR!</v>
      </c>
    </row>
    <row r="1799">
      <c r="A1799" s="56" t="s">
        <v>2679</v>
      </c>
      <c r="M1799" s="69" t="str">
        <f>+'&lt;th style="text-align:right;"&gt;Sold&lt;/th&gt;'</f>
        <v>#ERROR!</v>
      </c>
    </row>
    <row r="1800">
      <c r="A1800" s="56" t="s">
        <v>932</v>
      </c>
      <c r="M1800" s="69" t="str">
        <f>+'&lt;th style="text-align:right;"&gt;In Hand&lt;/th&gt;'</f>
        <v>#ERROR!</v>
      </c>
    </row>
    <row r="1801">
      <c r="M1801" s="69" t="str">
        <f>+'&lt;th style="width:200px;"&gt;Sell-Through Rate&lt;/th&gt;'</f>
        <v>#ERROR!</v>
      </c>
    </row>
    <row r="1802">
      <c r="A1802" s="56" t="s">
        <v>2680</v>
      </c>
      <c r="M1802" s="69" t="str">
        <f>+'&lt;/tr&gt;&lt;/thead&gt;&lt;tbody&gt;';</f>
        <v>#ERROR!</v>
      </c>
    </row>
    <row r="1803">
      <c r="A1803" s="56" t="s">
        <v>1234</v>
      </c>
    </row>
    <row r="1804">
      <c r="A1804" s="56" t="s">
        <v>1018</v>
      </c>
      <c r="M1804" s="56" t="s">
        <v>2198</v>
      </c>
    </row>
    <row r="1805">
      <c r="A1805" s="56" t="s">
        <v>2681</v>
      </c>
      <c r="M1805" s="56" t="s">
        <v>2682</v>
      </c>
    </row>
    <row r="1806">
      <c r="A1806" s="56" t="s">
        <v>932</v>
      </c>
      <c r="M1806" s="56" t="s">
        <v>2683</v>
      </c>
    </row>
    <row r="1807">
      <c r="M1807" s="56" t="s">
        <v>2684</v>
      </c>
    </row>
    <row r="1808">
      <c r="A1808" s="56" t="s">
        <v>2685</v>
      </c>
      <c r="M1808" s="56" t="s">
        <v>2686</v>
      </c>
    </row>
    <row r="1809">
      <c r="A1809" s="56" t="s">
        <v>2687</v>
      </c>
    </row>
    <row r="1810">
      <c r="A1810" s="56" t="s">
        <v>2688</v>
      </c>
      <c r="M1810" s="56" t="s">
        <v>2689</v>
      </c>
    </row>
    <row r="1811">
      <c r="A1811" s="56" t="s">
        <v>2690</v>
      </c>
      <c r="M1811" s="56" t="s">
        <v>2691</v>
      </c>
    </row>
    <row r="1812">
      <c r="A1812" s="56" t="s">
        <v>932</v>
      </c>
      <c r="M1812" s="56" t="s">
        <v>2692</v>
      </c>
    </row>
    <row r="1814">
      <c r="A1814" s="56" t="s">
        <v>2693</v>
      </c>
      <c r="M1814" s="56" t="s">
        <v>2694</v>
      </c>
    </row>
    <row r="1815">
      <c r="A1815" s="56" t="s">
        <v>2695</v>
      </c>
      <c r="M1815" s="56" t="s">
        <v>2696</v>
      </c>
    </row>
    <row r="1816">
      <c r="A1816" s="56" t="s">
        <v>2697</v>
      </c>
      <c r="M1816" s="56" t="s">
        <v>2698</v>
      </c>
    </row>
    <row r="1817">
      <c r="A1817" s="56" t="s">
        <v>2699</v>
      </c>
    </row>
    <row r="1818">
      <c r="A1818" s="56" t="s">
        <v>932</v>
      </c>
      <c r="M1818" s="56" t="s">
        <v>2700</v>
      </c>
    </row>
    <row r="1819">
      <c r="M1819" s="56" t="s">
        <v>2701</v>
      </c>
    </row>
    <row r="1820">
      <c r="A1820" s="56" t="s">
        <v>2702</v>
      </c>
      <c r="M1820" s="56" t="s">
        <v>2703</v>
      </c>
    </row>
    <row r="1821">
      <c r="A1821" s="56" t="s">
        <v>2704</v>
      </c>
      <c r="M1821" s="56" t="s">
        <v>2705</v>
      </c>
    </row>
    <row r="1822">
      <c r="A1822" s="56" t="s">
        <v>2706</v>
      </c>
      <c r="M1822" s="56" t="s">
        <v>2707</v>
      </c>
    </row>
    <row r="1823">
      <c r="A1823" s="56" t="s">
        <v>2708</v>
      </c>
      <c r="M1823" s="56" t="s">
        <v>2709</v>
      </c>
    </row>
    <row r="1824">
      <c r="A1824" s="56" t="s">
        <v>932</v>
      </c>
      <c r="M1824" s="56" t="s">
        <v>2710</v>
      </c>
    </row>
    <row r="1825">
      <c r="M1825" s="56" t="s">
        <v>2711</v>
      </c>
    </row>
    <row r="1826">
      <c r="A1826" s="56" t="s">
        <v>2712</v>
      </c>
      <c r="M1826" s="56" t="s">
        <v>2713</v>
      </c>
    </row>
    <row r="1827">
      <c r="A1827" s="56" t="s">
        <v>2714</v>
      </c>
      <c r="M1827" s="56" t="s">
        <v>2715</v>
      </c>
    </row>
    <row r="1828">
      <c r="A1828" s="56" t="s">
        <v>1089</v>
      </c>
      <c r="M1828" s="56" t="s">
        <v>1431</v>
      </c>
    </row>
    <row r="1829">
      <c r="A1829" s="56" t="s">
        <v>932</v>
      </c>
      <c r="M1829" s="56" t="s">
        <v>2716</v>
      </c>
    </row>
    <row r="1830">
      <c r="A1830" s="56" t="s">
        <v>932</v>
      </c>
      <c r="M1830" s="56" t="s">
        <v>2717</v>
      </c>
    </row>
    <row r="1831">
      <c r="M1831" s="56" t="s">
        <v>2217</v>
      </c>
    </row>
    <row r="1832">
      <c r="A1832" s="56" t="s">
        <v>2718</v>
      </c>
      <c r="M1832" s="56" t="s">
        <v>932</v>
      </c>
    </row>
    <row r="1833">
      <c r="A1833" s="56" t="s">
        <v>2719</v>
      </c>
      <c r="M1833" s="56" t="s">
        <v>2720</v>
      </c>
    </row>
    <row r="1834">
      <c r="A1834" s="56" t="s">
        <v>2721</v>
      </c>
      <c r="M1834" s="56" t="s">
        <v>2722</v>
      </c>
    </row>
    <row r="1835">
      <c r="A1835" s="56" t="s">
        <v>1571</v>
      </c>
    </row>
    <row r="1836">
      <c r="A1836" s="56" t="s">
        <v>1196</v>
      </c>
      <c r="M1836" s="56" t="s">
        <v>2723</v>
      </c>
    </row>
    <row r="1837">
      <c r="A1837" s="56" t="s">
        <v>932</v>
      </c>
      <c r="M1837" s="56" t="s">
        <v>2724</v>
      </c>
    </row>
    <row r="1838">
      <c r="M1838" s="56" t="s">
        <v>2317</v>
      </c>
    </row>
    <row r="1839">
      <c r="A1839" s="56" t="s">
        <v>2725</v>
      </c>
      <c r="M1839" s="56" t="s">
        <v>2726</v>
      </c>
    </row>
    <row r="1840">
      <c r="A1840" s="56" t="s">
        <v>1733</v>
      </c>
      <c r="M1840" s="56" t="s">
        <v>2727</v>
      </c>
    </row>
    <row r="1841">
      <c r="A1841" s="56" t="s">
        <v>2728</v>
      </c>
      <c r="M1841" s="56" t="s">
        <v>2729</v>
      </c>
    </row>
    <row r="1842">
      <c r="A1842" s="56" t="s">
        <v>951</v>
      </c>
      <c r="M1842" s="56" t="s">
        <v>2730</v>
      </c>
    </row>
    <row r="1843">
      <c r="A1843" s="56" t="s">
        <v>1083</v>
      </c>
      <c r="M1843" s="56" t="s">
        <v>2731</v>
      </c>
    </row>
    <row r="1844">
      <c r="A1844" s="56" t="s">
        <v>966</v>
      </c>
      <c r="M1844" s="56" t="s">
        <v>2732</v>
      </c>
    </row>
    <row r="1845">
      <c r="A1845" s="56" t="s">
        <v>932</v>
      </c>
      <c r="M1845" s="56" t="s">
        <v>932</v>
      </c>
    </row>
    <row r="1846">
      <c r="M1846" s="56" t="s">
        <v>2733</v>
      </c>
    </row>
    <row r="1847">
      <c r="A1847" s="56" t="s">
        <v>1358</v>
      </c>
      <c r="M1847" s="56" t="s">
        <v>2734</v>
      </c>
    </row>
    <row r="1848">
      <c r="A1848" s="56" t="s">
        <v>2735</v>
      </c>
      <c r="M1848" s="56" t="s">
        <v>2736</v>
      </c>
    </row>
    <row r="1849">
      <c r="A1849" s="56" t="s">
        <v>1571</v>
      </c>
      <c r="M1849" s="56" t="s">
        <v>2737</v>
      </c>
    </row>
    <row r="1850">
      <c r="A1850" s="56" t="s">
        <v>1196</v>
      </c>
      <c r="M1850" s="56" t="s">
        <v>2738</v>
      </c>
    </row>
    <row r="1851">
      <c r="A1851" s="56" t="s">
        <v>1044</v>
      </c>
      <c r="M1851" s="56" t="s">
        <v>932</v>
      </c>
    </row>
    <row r="1852">
      <c r="A1852" s="56" t="s">
        <v>1326</v>
      </c>
      <c r="M1852" s="56" t="s">
        <v>2739</v>
      </c>
    </row>
    <row r="1853">
      <c r="A1853" s="56" t="s">
        <v>932</v>
      </c>
      <c r="M1853" s="56" t="s">
        <v>2227</v>
      </c>
    </row>
    <row r="1854">
      <c r="M1854" s="56" t="s">
        <v>2740</v>
      </c>
    </row>
    <row r="1855">
      <c r="A1855" s="56" t="s">
        <v>2741</v>
      </c>
      <c r="M1855" s="56" t="s">
        <v>2742</v>
      </c>
    </row>
    <row r="1856">
      <c r="A1856" s="56" t="s">
        <v>1463</v>
      </c>
      <c r="M1856" s="56" t="s">
        <v>2743</v>
      </c>
    </row>
    <row r="1857">
      <c r="A1857" s="56" t="s">
        <v>932</v>
      </c>
      <c r="M1857" s="56" t="s">
        <v>2080</v>
      </c>
    </row>
    <row r="1858">
      <c r="M1858" s="56" t="s">
        <v>932</v>
      </c>
    </row>
    <row r="1859">
      <c r="A1859" s="56" t="s">
        <v>2744</v>
      </c>
      <c r="M1859" s="56" t="s">
        <v>932</v>
      </c>
    </row>
    <row r="1860">
      <c r="A1860" s="56" t="s">
        <v>972</v>
      </c>
      <c r="M1860" s="56" t="s">
        <v>2745</v>
      </c>
    </row>
    <row r="1861">
      <c r="A1861" s="56" t="s">
        <v>1219</v>
      </c>
      <c r="M1861" s="56" t="s">
        <v>2746</v>
      </c>
    </row>
    <row r="1862">
      <c r="A1862" s="56" t="s">
        <v>932</v>
      </c>
      <c r="M1862" s="56" t="s">
        <v>932</v>
      </c>
    </row>
    <row r="1864">
      <c r="A1864" s="56" t="s">
        <v>2747</v>
      </c>
      <c r="M1864" s="56" t="s">
        <v>1829</v>
      </c>
    </row>
    <row r="1865">
      <c r="A1865" s="56" t="s">
        <v>2748</v>
      </c>
      <c r="M1865" s="56" t="s">
        <v>2749</v>
      </c>
    </row>
    <row r="1866">
      <c r="A1866" s="56" t="s">
        <v>2030</v>
      </c>
      <c r="M1866" s="56" t="s">
        <v>1829</v>
      </c>
    </row>
    <row r="1867">
      <c r="A1867" s="56" t="s">
        <v>1596</v>
      </c>
      <c r="M1867" s="56" t="s">
        <v>2750</v>
      </c>
    </row>
    <row r="1868">
      <c r="A1868" s="56" t="s">
        <v>2288</v>
      </c>
      <c r="M1868" s="56" t="s">
        <v>2751</v>
      </c>
    </row>
    <row r="1869">
      <c r="A1869" s="56" t="s">
        <v>1061</v>
      </c>
      <c r="M1869" s="56" t="s">
        <v>2752</v>
      </c>
    </row>
    <row r="1870">
      <c r="A1870" s="56" t="s">
        <v>2753</v>
      </c>
      <c r="M1870" s="56" t="s">
        <v>2754</v>
      </c>
    </row>
    <row r="1871">
      <c r="A1871" s="56" t="s">
        <v>932</v>
      </c>
      <c r="M1871" s="56" t="s">
        <v>2755</v>
      </c>
    </row>
    <row r="1872">
      <c r="M1872" s="56" t="s">
        <v>932</v>
      </c>
    </row>
    <row r="1873">
      <c r="A1873" s="56" t="s">
        <v>2756</v>
      </c>
      <c r="M1873" s="56" t="s">
        <v>2757</v>
      </c>
    </row>
    <row r="1874">
      <c r="A1874" s="56" t="s">
        <v>999</v>
      </c>
      <c r="M1874" s="56" t="s">
        <v>2758</v>
      </c>
    </row>
    <row r="1875">
      <c r="A1875" s="56" t="s">
        <v>2660</v>
      </c>
      <c r="M1875" s="56" t="s">
        <v>2759</v>
      </c>
    </row>
    <row r="1876">
      <c r="A1876" s="56" t="s">
        <v>1386</v>
      </c>
      <c r="M1876" s="56" t="s">
        <v>2760</v>
      </c>
    </row>
    <row r="1877">
      <c r="A1877" s="56" t="s">
        <v>1384</v>
      </c>
      <c r="M1877" s="56" t="s">
        <v>2761</v>
      </c>
    </row>
    <row r="1878">
      <c r="A1878" s="56" t="s">
        <v>2762</v>
      </c>
      <c r="M1878" s="56" t="s">
        <v>2763</v>
      </c>
    </row>
    <row r="1879">
      <c r="A1879" s="56" t="s">
        <v>2764</v>
      </c>
      <c r="M1879" s="56" t="s">
        <v>1910</v>
      </c>
    </row>
    <row r="1880">
      <c r="A1880" s="56" t="s">
        <v>2765</v>
      </c>
      <c r="M1880" s="56" t="s">
        <v>2766</v>
      </c>
    </row>
    <row r="1881">
      <c r="A1881" s="56" t="s">
        <v>932</v>
      </c>
      <c r="M1881" s="56" t="s">
        <v>2767</v>
      </c>
    </row>
    <row r="1882">
      <c r="M1882" s="56" t="s">
        <v>2768</v>
      </c>
    </row>
    <row r="1883">
      <c r="A1883" s="56" t="s">
        <v>2769</v>
      </c>
      <c r="M1883" s="56" t="s">
        <v>932</v>
      </c>
    </row>
    <row r="1884">
      <c r="A1884" s="56" t="s">
        <v>2714</v>
      </c>
    </row>
    <row r="1885">
      <c r="A1885" s="56" t="s">
        <v>932</v>
      </c>
      <c r="M1885" s="56" t="s">
        <v>2770</v>
      </c>
    </row>
    <row r="1886">
      <c r="M1886" s="56" t="s">
        <v>2771</v>
      </c>
    </row>
    <row r="1887">
      <c r="A1887" s="56" t="s">
        <v>2748</v>
      </c>
      <c r="M1887" s="56" t="s">
        <v>2772</v>
      </c>
    </row>
    <row r="1888">
      <c r="A1888" s="56" t="s">
        <v>972</v>
      </c>
      <c r="M1888" s="56" t="s">
        <v>2773</v>
      </c>
    </row>
    <row r="1889">
      <c r="A1889" s="56" t="s">
        <v>932</v>
      </c>
      <c r="M1889" s="56" t="s">
        <v>2774</v>
      </c>
    </row>
    <row r="1890">
      <c r="M1890" s="56" t="s">
        <v>932</v>
      </c>
    </row>
    <row r="1891">
      <c r="A1891" s="56" t="s">
        <v>977</v>
      </c>
      <c r="M1891" s="56" t="s">
        <v>2775</v>
      </c>
    </row>
    <row r="1892">
      <c r="A1892" s="56" t="s">
        <v>2776</v>
      </c>
      <c r="M1892" s="56" t="s">
        <v>2777</v>
      </c>
    </row>
    <row r="1893">
      <c r="A1893" s="56" t="s">
        <v>932</v>
      </c>
      <c r="M1893" s="56" t="s">
        <v>2778</v>
      </c>
    </row>
    <row r="1894">
      <c r="M1894" s="56" t="s">
        <v>2779</v>
      </c>
    </row>
    <row r="1895">
      <c r="A1895" s="56" t="s">
        <v>1987</v>
      </c>
      <c r="M1895" s="56" t="s">
        <v>932</v>
      </c>
    </row>
    <row r="1896">
      <c r="A1896" s="56" t="s">
        <v>2780</v>
      </c>
      <c r="M1896" s="56" t="s">
        <v>2781</v>
      </c>
    </row>
    <row r="1897">
      <c r="A1897" s="56" t="s">
        <v>932</v>
      </c>
      <c r="M1897" s="56" t="s">
        <v>2782</v>
      </c>
    </row>
    <row r="1898">
      <c r="M1898" s="56" t="s">
        <v>2783</v>
      </c>
    </row>
    <row r="1899">
      <c r="A1899" s="56" t="s">
        <v>2784</v>
      </c>
      <c r="M1899" s="56" t="s">
        <v>2774</v>
      </c>
    </row>
    <row r="1900">
      <c r="A1900" s="56" t="s">
        <v>2785</v>
      </c>
      <c r="M1900" s="56" t="s">
        <v>932</v>
      </c>
    </row>
    <row r="1901">
      <c r="A1901" s="56" t="s">
        <v>932</v>
      </c>
      <c r="M1901" s="56" t="s">
        <v>2786</v>
      </c>
    </row>
    <row r="1902">
      <c r="M1902" s="56" t="s">
        <v>2782</v>
      </c>
    </row>
    <row r="1903">
      <c r="A1903" s="56" t="s">
        <v>1249</v>
      </c>
      <c r="M1903" s="56" t="s">
        <v>2787</v>
      </c>
    </row>
    <row r="1904">
      <c r="A1904" s="56" t="s">
        <v>1460</v>
      </c>
      <c r="M1904" s="56" t="s">
        <v>2788</v>
      </c>
    </row>
    <row r="1905">
      <c r="A1905" s="56" t="s">
        <v>932</v>
      </c>
      <c r="M1905" s="56" t="s">
        <v>932</v>
      </c>
    </row>
    <row r="1906">
      <c r="M1906" s="56" t="s">
        <v>2789</v>
      </c>
    </row>
    <row r="1907">
      <c r="A1907" s="56" t="s">
        <v>2790</v>
      </c>
      <c r="M1907" s="56" t="s">
        <v>2791</v>
      </c>
    </row>
    <row r="1908">
      <c r="A1908" s="56" t="s">
        <v>1268</v>
      </c>
      <c r="M1908" s="56" t="s">
        <v>2792</v>
      </c>
    </row>
    <row r="1909">
      <c r="A1909" s="56" t="s">
        <v>2793</v>
      </c>
      <c r="M1909" s="56" t="s">
        <v>2794</v>
      </c>
    </row>
    <row r="1910">
      <c r="A1910" s="56" t="s">
        <v>932</v>
      </c>
      <c r="M1910" s="56" t="s">
        <v>2795</v>
      </c>
    </row>
    <row r="1911">
      <c r="A1911" s="56" t="s">
        <v>932</v>
      </c>
      <c r="M1911" s="56" t="s">
        <v>2796</v>
      </c>
    </row>
    <row r="1912">
      <c r="M1912" s="56" t="s">
        <v>2797</v>
      </c>
    </row>
    <row r="1913">
      <c r="A1913" s="56" t="s">
        <v>2798</v>
      </c>
      <c r="M1913" s="56" t="s">
        <v>2081</v>
      </c>
    </row>
    <row r="1914">
      <c r="A1914" s="56" t="s">
        <v>2030</v>
      </c>
      <c r="M1914" s="56" t="s">
        <v>2799</v>
      </c>
    </row>
    <row r="1915">
      <c r="A1915" s="56" t="s">
        <v>2660</v>
      </c>
      <c r="M1915" s="56" t="s">
        <v>2800</v>
      </c>
    </row>
    <row r="1916">
      <c r="A1916" s="56" t="s">
        <v>2801</v>
      </c>
      <c r="M1916" s="56" t="s">
        <v>2802</v>
      </c>
    </row>
    <row r="1917">
      <c r="A1917" s="56" t="s">
        <v>2803</v>
      </c>
      <c r="M1917" s="56" t="s">
        <v>2804</v>
      </c>
    </row>
    <row r="1918">
      <c r="A1918" s="56" t="s">
        <v>2805</v>
      </c>
      <c r="M1918" s="56" t="s">
        <v>2806</v>
      </c>
    </row>
    <row r="1919">
      <c r="A1919" s="56" t="s">
        <v>932</v>
      </c>
      <c r="M1919" s="56" t="s">
        <v>2807</v>
      </c>
    </row>
    <row r="1920">
      <c r="M1920" s="56" t="s">
        <v>1431</v>
      </c>
    </row>
    <row r="1921">
      <c r="A1921" s="56" t="s">
        <v>2808</v>
      </c>
      <c r="M1921" s="56" t="s">
        <v>2809</v>
      </c>
    </row>
    <row r="1922">
      <c r="A1922" s="56" t="s">
        <v>1733</v>
      </c>
      <c r="M1922" s="56" t="s">
        <v>2810</v>
      </c>
    </row>
    <row r="1923">
      <c r="A1923" s="56" t="s">
        <v>932</v>
      </c>
      <c r="M1923" s="56" t="s">
        <v>1431</v>
      </c>
    </row>
    <row r="1924">
      <c r="A1924" s="56" t="s">
        <v>1417</v>
      </c>
      <c r="M1924" s="56" t="s">
        <v>2811</v>
      </c>
    </row>
    <row r="1925">
      <c r="A1925" s="56" t="s">
        <v>1418</v>
      </c>
      <c r="M1925" s="56" t="s">
        <v>2080</v>
      </c>
    </row>
    <row r="1926">
      <c r="M1926" s="56" t="s">
        <v>2081</v>
      </c>
    </row>
    <row r="1927">
      <c r="A1927" s="56" t="s">
        <v>1420</v>
      </c>
      <c r="M1927" s="56" t="s">
        <v>2788</v>
      </c>
    </row>
    <row r="1928">
      <c r="A1928" s="56" t="s">
        <v>1421</v>
      </c>
      <c r="M1928" s="56" t="s">
        <v>932</v>
      </c>
    </row>
    <row r="1929">
      <c r="M1929" s="56" t="s">
        <v>2812</v>
      </c>
    </row>
    <row r="1930">
      <c r="A1930" s="56" t="s">
        <v>1423</v>
      </c>
      <c r="M1930" s="56" t="s">
        <v>2813</v>
      </c>
    </row>
    <row r="1931">
      <c r="A1931" s="56" t="s">
        <v>1424</v>
      </c>
      <c r="M1931" s="56" t="s">
        <v>2814</v>
      </c>
    </row>
    <row r="1932">
      <c r="A1932" s="56" t="s">
        <v>1426</v>
      </c>
      <c r="M1932" s="56" t="s">
        <v>2815</v>
      </c>
    </row>
    <row r="1933">
      <c r="A1933" s="56" t="s">
        <v>1427</v>
      </c>
      <c r="M1933" s="56" t="s">
        <v>2816</v>
      </c>
    </row>
    <row r="1934">
      <c r="A1934" s="56" t="s">
        <v>2817</v>
      </c>
      <c r="M1934" s="56" t="s">
        <v>2818</v>
      </c>
    </row>
    <row r="1935">
      <c r="A1935" s="56" t="s">
        <v>1431</v>
      </c>
      <c r="M1935" s="56" t="s">
        <v>2819</v>
      </c>
    </row>
    <row r="1936">
      <c r="A1936" s="56" t="s">
        <v>1433</v>
      </c>
      <c r="M1936" s="56" t="s">
        <v>1910</v>
      </c>
    </row>
    <row r="1937">
      <c r="A1937" s="56" t="s">
        <v>1434</v>
      </c>
      <c r="M1937" s="56" t="s">
        <v>2820</v>
      </c>
    </row>
    <row r="1938">
      <c r="A1938" s="56" t="s">
        <v>1435</v>
      </c>
      <c r="M1938" s="56" t="s">
        <v>2821</v>
      </c>
    </row>
    <row r="1939">
      <c r="A1939" s="56" t="s">
        <v>2822</v>
      </c>
      <c r="M1939" s="56" t="s">
        <v>2823</v>
      </c>
    </row>
    <row r="1940">
      <c r="A1940" s="56" t="s">
        <v>2824</v>
      </c>
      <c r="M1940" s="56" t="s">
        <v>932</v>
      </c>
    </row>
    <row r="1941">
      <c r="A1941" s="56" t="s">
        <v>2825</v>
      </c>
      <c r="M1941" s="56" t="s">
        <v>2826</v>
      </c>
    </row>
    <row r="1942">
      <c r="A1942" s="56" t="s">
        <v>2827</v>
      </c>
      <c r="M1942" s="56" t="s">
        <v>2828</v>
      </c>
    </row>
    <row r="1943">
      <c r="A1943" s="56" t="s">
        <v>2829</v>
      </c>
      <c r="M1943" s="56" t="s">
        <v>2830</v>
      </c>
    </row>
    <row r="1944">
      <c r="A1944" s="56" t="s">
        <v>1870</v>
      </c>
      <c r="M1944" s="56" t="s">
        <v>2831</v>
      </c>
    </row>
    <row r="1945">
      <c r="A1945" s="56" t="s">
        <v>1439</v>
      </c>
      <c r="M1945" s="56" t="s">
        <v>932</v>
      </c>
    </row>
    <row r="1946">
      <c r="A1946" s="56" t="s">
        <v>1431</v>
      </c>
      <c r="M1946" s="56" t="s">
        <v>2832</v>
      </c>
    </row>
    <row r="1947">
      <c r="A1947" s="56" t="s">
        <v>1440</v>
      </c>
      <c r="M1947" s="56" t="s">
        <v>2833</v>
      </c>
    </row>
    <row r="1948">
      <c r="A1948" s="56" t="s">
        <v>2822</v>
      </c>
      <c r="M1948" s="56" t="s">
        <v>2834</v>
      </c>
    </row>
    <row r="1949">
      <c r="A1949" s="56" t="s">
        <v>2835</v>
      </c>
      <c r="M1949" s="56" t="s">
        <v>2836</v>
      </c>
    </row>
    <row r="1950">
      <c r="A1950" s="56" t="s">
        <v>2837</v>
      </c>
      <c r="M1950" s="56" t="s">
        <v>2838</v>
      </c>
    </row>
    <row r="1951">
      <c r="A1951" s="56" t="s">
        <v>2839</v>
      </c>
      <c r="M1951" s="56" t="s">
        <v>2840</v>
      </c>
    </row>
    <row r="1952">
      <c r="A1952" s="56" t="s">
        <v>1870</v>
      </c>
      <c r="M1952" s="56" t="s">
        <v>2841</v>
      </c>
    </row>
    <row r="1953">
      <c r="A1953" s="56" t="s">
        <v>1444</v>
      </c>
      <c r="M1953" s="56" t="s">
        <v>2842</v>
      </c>
    </row>
    <row r="1954">
      <c r="A1954" s="56" t="s">
        <v>1431</v>
      </c>
      <c r="M1954" s="56" t="s">
        <v>2813</v>
      </c>
    </row>
    <row r="1955">
      <c r="A1955" s="56" t="s">
        <v>2843</v>
      </c>
      <c r="M1955" s="56" t="s">
        <v>2844</v>
      </c>
    </row>
    <row r="1956">
      <c r="A1956" s="56" t="s">
        <v>1447</v>
      </c>
      <c r="M1956" s="56" t="s">
        <v>2845</v>
      </c>
    </row>
    <row r="1957">
      <c r="A1957" s="56" t="s">
        <v>2822</v>
      </c>
      <c r="M1957" s="56" t="s">
        <v>2846</v>
      </c>
    </row>
    <row r="1958">
      <c r="A1958" s="56" t="s">
        <v>2847</v>
      </c>
      <c r="M1958" s="56" t="s">
        <v>2848</v>
      </c>
    </row>
    <row r="1959">
      <c r="A1959" s="56" t="s">
        <v>2849</v>
      </c>
      <c r="M1959" s="56" t="s">
        <v>2818</v>
      </c>
    </row>
    <row r="1960">
      <c r="A1960" s="56" t="s">
        <v>2850</v>
      </c>
      <c r="M1960" s="56" t="s">
        <v>2851</v>
      </c>
    </row>
    <row r="1961">
      <c r="A1961" s="56" t="s">
        <v>2852</v>
      </c>
      <c r="M1961" s="56" t="s">
        <v>2853</v>
      </c>
    </row>
    <row r="1962">
      <c r="A1962" s="56" t="s">
        <v>1870</v>
      </c>
      <c r="M1962" s="56" t="s">
        <v>2854</v>
      </c>
    </row>
    <row r="1963">
      <c r="A1963" s="56" t="s">
        <v>1450</v>
      </c>
      <c r="M1963" s="56" t="s">
        <v>932</v>
      </c>
    </row>
    <row r="1964">
      <c r="A1964" s="56" t="s">
        <v>1431</v>
      </c>
      <c r="M1964" s="56" t="s">
        <v>2855</v>
      </c>
    </row>
    <row r="1965">
      <c r="A1965" s="56" t="s">
        <v>1452</v>
      </c>
    </row>
    <row r="1966">
      <c r="A1966" s="56" t="s">
        <v>2822</v>
      </c>
      <c r="M1966" s="56" t="s">
        <v>2856</v>
      </c>
    </row>
    <row r="1967">
      <c r="A1967" s="56" t="s">
        <v>2857</v>
      </c>
      <c r="M1967" s="56" t="s">
        <v>1929</v>
      </c>
    </row>
    <row r="1968">
      <c r="A1968" s="56" t="s">
        <v>2858</v>
      </c>
      <c r="M1968" s="56" t="s">
        <v>1930</v>
      </c>
    </row>
    <row r="1969">
      <c r="A1969" s="56" t="s">
        <v>2859</v>
      </c>
      <c r="M1969" s="56" t="s">
        <v>2860</v>
      </c>
    </row>
    <row r="1970">
      <c r="A1970" s="56" t="s">
        <v>2861</v>
      </c>
      <c r="M1970" s="56" t="s">
        <v>2862</v>
      </c>
    </row>
    <row r="1971">
      <c r="A1971" s="56" t="s">
        <v>1870</v>
      </c>
      <c r="M1971" s="56" t="s">
        <v>2863</v>
      </c>
    </row>
    <row r="1972">
      <c r="A1972" s="56" t="s">
        <v>1454</v>
      </c>
      <c r="M1972" s="56" t="s">
        <v>1946</v>
      </c>
    </row>
    <row r="1973">
      <c r="A1973" s="56" t="s">
        <v>1431</v>
      </c>
      <c r="M1973" s="56" t="s">
        <v>2864</v>
      </c>
    </row>
    <row r="1974">
      <c r="A1974" s="56" t="s">
        <v>1455</v>
      </c>
      <c r="M1974" s="56" t="s">
        <v>2865</v>
      </c>
    </row>
    <row r="1975">
      <c r="A1975" s="56" t="s">
        <v>2822</v>
      </c>
      <c r="M1975" s="56" t="s">
        <v>932</v>
      </c>
    </row>
    <row r="1976">
      <c r="A1976" s="56" t="s">
        <v>2866</v>
      </c>
    </row>
    <row r="1977">
      <c r="A1977" s="56" t="s">
        <v>1870</v>
      </c>
      <c r="M1977" s="56" t="s">
        <v>2867</v>
      </c>
    </row>
    <row r="1978">
      <c r="A1978" s="56" t="s">
        <v>1459</v>
      </c>
      <c r="M1978" s="56" t="s">
        <v>2868</v>
      </c>
    </row>
    <row r="1979">
      <c r="A1979" s="56" t="s">
        <v>1431</v>
      </c>
      <c r="M1979" s="56" t="s">
        <v>2869</v>
      </c>
    </row>
    <row r="1980">
      <c r="A1980" s="56" t="s">
        <v>2870</v>
      </c>
      <c r="M1980" s="56" t="s">
        <v>1929</v>
      </c>
    </row>
    <row r="1981">
      <c r="A1981" s="56" t="s">
        <v>1462</v>
      </c>
      <c r="M1981" s="56" t="s">
        <v>2871</v>
      </c>
    </row>
    <row r="1982">
      <c r="A1982" s="56" t="s">
        <v>2822</v>
      </c>
      <c r="M1982" s="56" t="s">
        <v>2872</v>
      </c>
    </row>
    <row r="1983">
      <c r="A1983" s="56" t="s">
        <v>2873</v>
      </c>
      <c r="M1983" s="56" t="s">
        <v>2874</v>
      </c>
    </row>
    <row r="1984">
      <c r="A1984" s="56" t="s">
        <v>2875</v>
      </c>
      <c r="M1984" s="56" t="s">
        <v>932</v>
      </c>
    </row>
    <row r="1985">
      <c r="A1985" s="56" t="s">
        <v>2876</v>
      </c>
      <c r="M1985" s="56" t="s">
        <v>2877</v>
      </c>
    </row>
    <row r="1986">
      <c r="A1986" s="56" t="s">
        <v>2878</v>
      </c>
      <c r="M1986" s="56" t="s">
        <v>2879</v>
      </c>
    </row>
    <row r="1987">
      <c r="A1987" s="56" t="s">
        <v>1870</v>
      </c>
      <c r="M1987" s="56" t="s">
        <v>2880</v>
      </c>
    </row>
    <row r="1988">
      <c r="A1988" s="56" t="s">
        <v>1465</v>
      </c>
      <c r="M1988" s="56" t="s">
        <v>2791</v>
      </c>
    </row>
    <row r="1989">
      <c r="A1989" s="56" t="s">
        <v>1431</v>
      </c>
      <c r="M1989" s="56" t="s">
        <v>2881</v>
      </c>
    </row>
    <row r="1990">
      <c r="A1990" s="56" t="s">
        <v>2882</v>
      </c>
      <c r="M1990" s="56" t="s">
        <v>2883</v>
      </c>
    </row>
    <row r="1991">
      <c r="A1991" s="56" t="s">
        <v>1467</v>
      </c>
      <c r="M1991" s="56" t="s">
        <v>2884</v>
      </c>
    </row>
    <row r="1992">
      <c r="A1992" s="56" t="s">
        <v>2822</v>
      </c>
      <c r="M1992" s="56" t="s">
        <v>2885</v>
      </c>
    </row>
    <row r="1993">
      <c r="A1993" s="56" t="s">
        <v>2886</v>
      </c>
      <c r="M1993" s="56" t="s">
        <v>2887</v>
      </c>
    </row>
    <row r="1994">
      <c r="A1994" s="56" t="s">
        <v>2888</v>
      </c>
      <c r="M1994" s="56" t="s">
        <v>2889</v>
      </c>
    </row>
    <row r="1995">
      <c r="A1995" s="56" t="s">
        <v>2890</v>
      </c>
      <c r="M1995" s="56" t="s">
        <v>2891</v>
      </c>
    </row>
    <row r="1996">
      <c r="A1996" s="56" t="s">
        <v>2892</v>
      </c>
      <c r="M1996" s="56" t="s">
        <v>1431</v>
      </c>
    </row>
    <row r="1997">
      <c r="A1997" s="56" t="s">
        <v>1870</v>
      </c>
      <c r="M1997" s="56" t="s">
        <v>2893</v>
      </c>
    </row>
    <row r="1998">
      <c r="A1998" s="56" t="s">
        <v>1470</v>
      </c>
      <c r="M1998" s="56" t="s">
        <v>2080</v>
      </c>
    </row>
    <row r="1999">
      <c r="A1999" s="56" t="s">
        <v>1431</v>
      </c>
      <c r="M1999" s="56" t="s">
        <v>2081</v>
      </c>
    </row>
    <row r="2000">
      <c r="A2000" s="56" t="s">
        <v>2894</v>
      </c>
      <c r="M2000" s="56" t="s">
        <v>2895</v>
      </c>
    </row>
    <row r="2001">
      <c r="A2001" s="56" t="s">
        <v>1472</v>
      </c>
      <c r="M2001" s="56" t="s">
        <v>2896</v>
      </c>
    </row>
    <row r="2002">
      <c r="A2002" s="56" t="s">
        <v>2822</v>
      </c>
      <c r="M2002" s="56" t="s">
        <v>1493</v>
      </c>
    </row>
    <row r="2003">
      <c r="A2003" s="56" t="s">
        <v>2897</v>
      </c>
      <c r="M2003" s="56" t="s">
        <v>2898</v>
      </c>
    </row>
    <row r="2004">
      <c r="A2004" s="56" t="s">
        <v>2899</v>
      </c>
      <c r="M2004" s="56" t="s">
        <v>2900</v>
      </c>
    </row>
    <row r="2005">
      <c r="A2005" s="56" t="s">
        <v>1870</v>
      </c>
      <c r="M2005" s="56" t="s">
        <v>1431</v>
      </c>
    </row>
    <row r="2006">
      <c r="A2006" s="56" t="s">
        <v>1476</v>
      </c>
      <c r="M2006" s="56" t="s">
        <v>2901</v>
      </c>
    </row>
    <row r="2007">
      <c r="A2007" s="56" t="s">
        <v>1431</v>
      </c>
      <c r="M2007" s="56" t="s">
        <v>1431</v>
      </c>
    </row>
    <row r="2008">
      <c r="A2008" s="56" t="s">
        <v>1431</v>
      </c>
      <c r="M2008" s="56" t="s">
        <v>2902</v>
      </c>
    </row>
    <row r="2009">
      <c r="A2009" s="56" t="s">
        <v>1477</v>
      </c>
      <c r="M2009" s="56" t="s">
        <v>2903</v>
      </c>
    </row>
    <row r="2010">
      <c r="A2010" s="56" t="s">
        <v>1478</v>
      </c>
      <c r="M2010" s="56" t="s">
        <v>2904</v>
      </c>
    </row>
    <row r="2011">
      <c r="A2011" s="56" t="s">
        <v>1479</v>
      </c>
      <c r="M2011" s="56" t="s">
        <v>2905</v>
      </c>
    </row>
    <row r="2012">
      <c r="A2012" s="56" t="s">
        <v>1480</v>
      </c>
      <c r="M2012" s="56" t="s">
        <v>1431</v>
      </c>
    </row>
    <row r="2013">
      <c r="A2013" s="56" t="s">
        <v>2906</v>
      </c>
      <c r="M2013" s="56" t="s">
        <v>2080</v>
      </c>
    </row>
    <row r="2014">
      <c r="A2014" s="56" t="s">
        <v>1483</v>
      </c>
      <c r="M2014" s="56" t="s">
        <v>2081</v>
      </c>
    </row>
    <row r="2015">
      <c r="A2015" s="56" t="s">
        <v>1431</v>
      </c>
      <c r="M2015" s="56" t="s">
        <v>2907</v>
      </c>
    </row>
    <row r="2016">
      <c r="A2016" s="56" t="s">
        <v>1431</v>
      </c>
      <c r="M2016" s="56" t="s">
        <v>932</v>
      </c>
    </row>
    <row r="2017">
      <c r="A2017" s="56" t="s">
        <v>1431</v>
      </c>
      <c r="M2017" s="56" t="s">
        <v>2908</v>
      </c>
    </row>
    <row r="2018">
      <c r="A2018" s="56" t="s">
        <v>1486</v>
      </c>
      <c r="M2018" s="56" t="s">
        <v>2909</v>
      </c>
    </row>
    <row r="2019">
      <c r="A2019" s="56" t="s">
        <v>2910</v>
      </c>
      <c r="M2019" s="56" t="s">
        <v>2911</v>
      </c>
    </row>
    <row r="2020">
      <c r="M2020" s="56" t="s">
        <v>1929</v>
      </c>
    </row>
    <row r="2021">
      <c r="A2021" s="56" t="s">
        <v>1488</v>
      </c>
      <c r="M2021" s="56" t="s">
        <v>1930</v>
      </c>
    </row>
    <row r="2022">
      <c r="A2022" s="56" t="s">
        <v>1489</v>
      </c>
      <c r="M2022" s="56" t="s">
        <v>2912</v>
      </c>
    </row>
    <row r="2023">
      <c r="M2023" s="56" t="s">
        <v>2913</v>
      </c>
    </row>
    <row r="2024">
      <c r="A2024" s="56" t="s">
        <v>1491</v>
      </c>
      <c r="M2024" s="56" t="s">
        <v>1946</v>
      </c>
    </row>
    <row r="2025">
      <c r="A2025" s="56" t="s">
        <v>1492</v>
      </c>
      <c r="M2025" s="56" t="s">
        <v>2914</v>
      </c>
    </row>
    <row r="2026">
      <c r="A2026" s="56" t="s">
        <v>2915</v>
      </c>
      <c r="M2026" s="56" t="s">
        <v>2916</v>
      </c>
    </row>
    <row r="2027">
      <c r="A2027" s="56" t="s">
        <v>2917</v>
      </c>
      <c r="M2027" s="56" t="s">
        <v>932</v>
      </c>
    </row>
    <row r="2028">
      <c r="A2028" s="56" t="s">
        <v>2918</v>
      </c>
    </row>
    <row r="2029">
      <c r="A2029" s="56" t="s">
        <v>2919</v>
      </c>
      <c r="M2029" s="56" t="s">
        <v>2920</v>
      </c>
    </row>
    <row r="2030">
      <c r="A2030" s="56" t="s">
        <v>1493</v>
      </c>
      <c r="M2030" s="56" t="s">
        <v>2921</v>
      </c>
    </row>
    <row r="2031">
      <c r="A2031" s="56" t="s">
        <v>1495</v>
      </c>
      <c r="M2031" s="56" t="s">
        <v>2922</v>
      </c>
    </row>
    <row r="2032">
      <c r="A2032" s="56" t="s">
        <v>1496</v>
      </c>
      <c r="M2032" s="56" t="s">
        <v>2923</v>
      </c>
    </row>
    <row r="2033">
      <c r="A2033" s="56" t="s">
        <v>1431</v>
      </c>
      <c r="M2033" s="56" t="s">
        <v>2924</v>
      </c>
    </row>
    <row r="2034">
      <c r="A2034" s="56" t="s">
        <v>1431</v>
      </c>
      <c r="M2034" s="56" t="s">
        <v>2925</v>
      </c>
    </row>
    <row r="2035">
      <c r="A2035" s="56" t="s">
        <v>2926</v>
      </c>
      <c r="M2035" s="56" t="s">
        <v>2791</v>
      </c>
    </row>
    <row r="2036">
      <c r="A2036" s="56" t="s">
        <v>1431</v>
      </c>
    </row>
    <row r="2037">
      <c r="M2037" s="56" t="s">
        <v>2927</v>
      </c>
    </row>
    <row r="2038">
      <c r="A2038" s="56" t="s">
        <v>1498</v>
      </c>
      <c r="M2038" s="56" t="s">
        <v>2928</v>
      </c>
    </row>
    <row r="2039">
      <c r="A2039" s="56" t="s">
        <v>1499</v>
      </c>
      <c r="M2039" s="56" t="s">
        <v>2080</v>
      </c>
    </row>
    <row r="2041">
      <c r="A2041" s="56" t="s">
        <v>1501</v>
      </c>
      <c r="M2041" s="56" t="s">
        <v>2929</v>
      </c>
    </row>
    <row r="2042">
      <c r="A2042" s="56" t="s">
        <v>2930</v>
      </c>
      <c r="M2042" s="56" t="s">
        <v>2931</v>
      </c>
    </row>
    <row r="2043">
      <c r="A2043" s="56" t="s">
        <v>2932</v>
      </c>
      <c r="M2043" s="56" t="s">
        <v>2933</v>
      </c>
    </row>
    <row r="2044">
      <c r="A2044" s="56" t="s">
        <v>2934</v>
      </c>
    </row>
    <row r="2045">
      <c r="A2045" s="56" t="s">
        <v>1431</v>
      </c>
      <c r="M2045" s="56" t="s">
        <v>2935</v>
      </c>
    </row>
    <row r="2046">
      <c r="A2046" s="56" t="s">
        <v>1504</v>
      </c>
      <c r="M2046" s="56" t="s">
        <v>2936</v>
      </c>
    </row>
    <row r="2047">
      <c r="A2047" s="56" t="s">
        <v>1506</v>
      </c>
      <c r="M2047" s="56" t="s">
        <v>2937</v>
      </c>
    </row>
    <row r="2048">
      <c r="A2048" s="56" t="s">
        <v>1531</v>
      </c>
      <c r="M2048" s="56" t="s">
        <v>1431</v>
      </c>
    </row>
    <row r="2049">
      <c r="A2049" s="56" t="s">
        <v>2938</v>
      </c>
    </row>
    <row r="2050">
      <c r="A2050" s="56" t="s">
        <v>2939</v>
      </c>
      <c r="M2050" s="56" t="s">
        <v>2940</v>
      </c>
    </row>
    <row r="2051">
      <c r="A2051" s="56" t="s">
        <v>2941</v>
      </c>
      <c r="M2051" s="56" t="s">
        <v>2942</v>
      </c>
    </row>
    <row r="2052">
      <c r="A2052" s="56" t="s">
        <v>2919</v>
      </c>
      <c r="M2052" s="56" t="s">
        <v>2943</v>
      </c>
    </row>
    <row r="2053">
      <c r="A2053" s="56" t="s">
        <v>1431</v>
      </c>
    </row>
    <row r="2054">
      <c r="A2054" s="56" t="s">
        <v>2944</v>
      </c>
      <c r="M2054" s="56" t="s">
        <v>2945</v>
      </c>
    </row>
    <row r="2055">
      <c r="A2055" s="56" t="s">
        <v>2934</v>
      </c>
      <c r="M2055" s="56" t="s">
        <v>2946</v>
      </c>
    </row>
    <row r="2056">
      <c r="A2056" s="56" t="s">
        <v>1431</v>
      </c>
      <c r="M2056" s="56" t="s">
        <v>2947</v>
      </c>
    </row>
    <row r="2057">
      <c r="A2057" s="56" t="s">
        <v>1431</v>
      </c>
      <c r="M2057" s="56" t="s">
        <v>2948</v>
      </c>
    </row>
    <row r="2058">
      <c r="A2058" s="56" t="s">
        <v>1506</v>
      </c>
      <c r="M2058" s="56" t="s">
        <v>2949</v>
      </c>
    </row>
    <row r="2059">
      <c r="A2059" s="56" t="s">
        <v>1531</v>
      </c>
      <c r="M2059" s="56" t="s">
        <v>2080</v>
      </c>
    </row>
    <row r="2060">
      <c r="A2060" s="56" t="s">
        <v>2950</v>
      </c>
      <c r="M2060" s="56" t="s">
        <v>932</v>
      </c>
    </row>
    <row r="2061">
      <c r="A2061" s="56" t="s">
        <v>1431</v>
      </c>
    </row>
    <row r="2062">
      <c r="A2062" s="56" t="s">
        <v>2951</v>
      </c>
      <c r="M2062" s="56" t="s">
        <v>2952</v>
      </c>
    </row>
    <row r="2063">
      <c r="A2063" s="56" t="s">
        <v>2934</v>
      </c>
      <c r="M2063" s="56" t="s">
        <v>2953</v>
      </c>
    </row>
    <row r="2064">
      <c r="A2064" s="56" t="s">
        <v>1431</v>
      </c>
    </row>
    <row r="2065">
      <c r="A2065" s="56" t="s">
        <v>1431</v>
      </c>
      <c r="M2065" s="56" t="s">
        <v>2954</v>
      </c>
    </row>
    <row r="2066">
      <c r="A2066" s="56" t="s">
        <v>1431</v>
      </c>
      <c r="M2066" s="56" t="s">
        <v>2955</v>
      </c>
    </row>
    <row r="2067">
      <c r="A2067" s="56" t="s">
        <v>1504</v>
      </c>
      <c r="M2067" s="56" t="s">
        <v>2956</v>
      </c>
    </row>
    <row r="2068">
      <c r="A2068" s="56" t="s">
        <v>1506</v>
      </c>
    </row>
    <row r="2069">
      <c r="A2069" s="56" t="s">
        <v>1531</v>
      </c>
      <c r="M2069" s="56" t="s">
        <v>2957</v>
      </c>
    </row>
    <row r="2070">
      <c r="A2070" s="56" t="s">
        <v>2958</v>
      </c>
      <c r="M2070" s="56" t="s">
        <v>2959</v>
      </c>
    </row>
    <row r="2071">
      <c r="A2071" s="56" t="s">
        <v>2960</v>
      </c>
      <c r="M2071" s="56" t="s">
        <v>2961</v>
      </c>
    </row>
    <row r="2072">
      <c r="A2072" s="56" t="s">
        <v>1431</v>
      </c>
      <c r="M2072" s="56" t="s">
        <v>2962</v>
      </c>
    </row>
    <row r="2073">
      <c r="A2073" s="56" t="s">
        <v>2963</v>
      </c>
      <c r="M2073" s="56" t="s">
        <v>2964</v>
      </c>
    </row>
    <row r="2074">
      <c r="A2074" s="56" t="s">
        <v>2934</v>
      </c>
      <c r="M2074" s="56" t="s">
        <v>2965</v>
      </c>
    </row>
    <row r="2075">
      <c r="A2075" s="56" t="s">
        <v>1431</v>
      </c>
      <c r="M2075" s="56" t="s">
        <v>2966</v>
      </c>
    </row>
    <row r="2076">
      <c r="A2076" s="56" t="s">
        <v>1431</v>
      </c>
      <c r="M2076" s="56" t="s">
        <v>2967</v>
      </c>
    </row>
    <row r="2077">
      <c r="A2077" s="56" t="s">
        <v>1506</v>
      </c>
    </row>
    <row r="2078">
      <c r="A2078" s="56" t="s">
        <v>1531</v>
      </c>
      <c r="M2078" s="56" t="s">
        <v>2968</v>
      </c>
    </row>
    <row r="2079">
      <c r="A2079" s="56" t="s">
        <v>2969</v>
      </c>
      <c r="M2079" s="56" t="s">
        <v>2970</v>
      </c>
    </row>
    <row r="2080">
      <c r="A2080" s="56" t="s">
        <v>1431</v>
      </c>
      <c r="M2080" s="56" t="s">
        <v>2971</v>
      </c>
    </row>
    <row r="2081">
      <c r="A2081" s="56" t="s">
        <v>2972</v>
      </c>
      <c r="M2081" s="56" t="s">
        <v>2973</v>
      </c>
    </row>
    <row r="2082">
      <c r="A2082" s="56" t="s">
        <v>2934</v>
      </c>
      <c r="M2082" s="56" t="s">
        <v>2974</v>
      </c>
    </row>
    <row r="2083">
      <c r="A2083" s="56" t="s">
        <v>1431</v>
      </c>
      <c r="M2083" s="56" t="s">
        <v>2080</v>
      </c>
    </row>
    <row r="2084">
      <c r="A2084" s="56" t="s">
        <v>1431</v>
      </c>
      <c r="M2084" s="56" t="s">
        <v>932</v>
      </c>
    </row>
    <row r="2085">
      <c r="A2085" s="56" t="s">
        <v>1431</v>
      </c>
    </row>
    <row r="2086">
      <c r="A2086" s="56" t="s">
        <v>1431</v>
      </c>
      <c r="M2086" s="56" t="s">
        <v>2952</v>
      </c>
    </row>
    <row r="2087">
      <c r="M2087" s="56" t="s">
        <v>2975</v>
      </c>
    </row>
    <row r="2088">
      <c r="A2088" s="56" t="s">
        <v>1527</v>
      </c>
      <c r="M2088" s="56" t="s">
        <v>2976</v>
      </c>
    </row>
    <row r="2089">
      <c r="A2089" s="56" t="s">
        <v>2977</v>
      </c>
      <c r="M2089" s="56" t="s">
        <v>2978</v>
      </c>
    </row>
    <row r="2090">
      <c r="A2090" s="56" t="s">
        <v>1506</v>
      </c>
      <c r="M2090" s="56" t="s">
        <v>1431</v>
      </c>
    </row>
    <row r="2091">
      <c r="A2091" s="56" t="s">
        <v>1531</v>
      </c>
      <c r="M2091" s="56" t="s">
        <v>2979</v>
      </c>
    </row>
    <row r="2092">
      <c r="A2092" s="56" t="s">
        <v>1533</v>
      </c>
      <c r="M2092" s="56" t="s">
        <v>1431</v>
      </c>
    </row>
    <row r="2093">
      <c r="A2093" s="56" t="s">
        <v>2980</v>
      </c>
      <c r="M2093" s="56" t="s">
        <v>2981</v>
      </c>
    </row>
    <row r="2094">
      <c r="A2094" s="56" t="s">
        <v>2982</v>
      </c>
      <c r="M2094" s="56" t="s">
        <v>932</v>
      </c>
    </row>
    <row r="2095">
      <c r="A2095" s="56" t="s">
        <v>2983</v>
      </c>
    </row>
    <row r="2096">
      <c r="A2096" s="56" t="s">
        <v>1615</v>
      </c>
      <c r="M2096" s="56" t="s">
        <v>2984</v>
      </c>
    </row>
    <row r="2097">
      <c r="A2097" s="56" t="s">
        <v>1431</v>
      </c>
    </row>
    <row r="2098">
      <c r="A2098" s="56" t="s">
        <v>1535</v>
      </c>
      <c r="M2098" s="56" t="s">
        <v>2985</v>
      </c>
    </row>
    <row r="2099">
      <c r="A2099" s="56" t="s">
        <v>1536</v>
      </c>
      <c r="M2099" s="56" t="s">
        <v>2986</v>
      </c>
    </row>
    <row r="2100">
      <c r="A2100" s="56" t="s">
        <v>1537</v>
      </c>
      <c r="M2100" s="56" t="s">
        <v>2987</v>
      </c>
    </row>
    <row r="2101">
      <c r="A2101" s="56" t="s">
        <v>1671</v>
      </c>
      <c r="M2101" s="56" t="s">
        <v>932</v>
      </c>
    </row>
    <row r="2102">
      <c r="A2102" s="56" t="s">
        <v>2988</v>
      </c>
    </row>
    <row r="2103">
      <c r="A2103" s="56" t="s">
        <v>1539</v>
      </c>
      <c r="M2103" s="56" t="s">
        <v>2989</v>
      </c>
    </row>
    <row r="2104">
      <c r="A2104" s="56" t="s">
        <v>1541</v>
      </c>
      <c r="M2104" s="56" t="s">
        <v>2990</v>
      </c>
    </row>
    <row r="2105">
      <c r="A2105" s="56" t="s">
        <v>1431</v>
      </c>
      <c r="M2105" s="56" t="s">
        <v>2991</v>
      </c>
    </row>
    <row r="2106">
      <c r="A2106" s="56" t="s">
        <v>1543</v>
      </c>
      <c r="M2106" s="56" t="s">
        <v>2992</v>
      </c>
    </row>
    <row r="2107">
      <c r="A2107" s="56" t="s">
        <v>1544</v>
      </c>
      <c r="M2107" s="56" t="s">
        <v>2993</v>
      </c>
    </row>
    <row r="2108">
      <c r="A2108" s="56" t="s">
        <v>1537</v>
      </c>
      <c r="M2108" s="56" t="s">
        <v>2791</v>
      </c>
    </row>
    <row r="2109">
      <c r="A2109" s="56" t="s">
        <v>2994</v>
      </c>
      <c r="M2109" s="56" t="s">
        <v>2995</v>
      </c>
    </row>
    <row r="2110">
      <c r="A2110" s="56" t="s">
        <v>1431</v>
      </c>
      <c r="M2110" s="56" t="s">
        <v>2996</v>
      </c>
    </row>
    <row r="2111">
      <c r="A2111" s="56" t="s">
        <v>2997</v>
      </c>
      <c r="M2111" s="56" t="s">
        <v>2998</v>
      </c>
    </row>
    <row r="2112">
      <c r="A2112" s="56" t="s">
        <v>1431</v>
      </c>
      <c r="M2112" s="56" t="s">
        <v>2999</v>
      </c>
    </row>
    <row r="2113">
      <c r="A2113" s="56" t="s">
        <v>1431</v>
      </c>
      <c r="M2113" s="56" t="s">
        <v>932</v>
      </c>
    </row>
    <row r="2114">
      <c r="A2114" s="56" t="s">
        <v>1543</v>
      </c>
      <c r="M2114" s="56" t="s">
        <v>3000</v>
      </c>
    </row>
    <row r="2115">
      <c r="A2115" s="56" t="s">
        <v>3001</v>
      </c>
      <c r="M2115" s="56" t="s">
        <v>3002</v>
      </c>
    </row>
    <row r="2116">
      <c r="A2116" s="56" t="s">
        <v>1552</v>
      </c>
      <c r="M2116" s="56" t="s">
        <v>3003</v>
      </c>
    </row>
    <row r="2117">
      <c r="A2117" s="56" t="s">
        <v>3004</v>
      </c>
    </row>
    <row r="2118">
      <c r="A2118" s="56" t="s">
        <v>3005</v>
      </c>
      <c r="M2118" s="56" t="s">
        <v>3006</v>
      </c>
    </row>
    <row r="2119">
      <c r="A2119" s="56" t="s">
        <v>2919</v>
      </c>
      <c r="M2119" s="56" t="s">
        <v>3007</v>
      </c>
    </row>
    <row r="2120">
      <c r="A2120" s="56" t="s">
        <v>1431</v>
      </c>
      <c r="M2120" s="56" t="s">
        <v>3008</v>
      </c>
    </row>
    <row r="2121">
      <c r="A2121" s="56" t="s">
        <v>1555</v>
      </c>
      <c r="M2121" s="56" t="s">
        <v>3009</v>
      </c>
    </row>
    <row r="2122">
      <c r="A2122" s="56" t="s">
        <v>1556</v>
      </c>
      <c r="M2122" s="56" t="s">
        <v>3010</v>
      </c>
    </row>
    <row r="2123">
      <c r="A2123" s="56" t="s">
        <v>1543</v>
      </c>
      <c r="M2123" s="56" t="s">
        <v>3011</v>
      </c>
    </row>
    <row r="2124">
      <c r="A2124" s="56" t="s">
        <v>3012</v>
      </c>
      <c r="M2124" s="56" t="s">
        <v>3013</v>
      </c>
    </row>
    <row r="2125">
      <c r="A2125" s="56" t="s">
        <v>1558</v>
      </c>
      <c r="M2125" s="56" t="s">
        <v>3009</v>
      </c>
    </row>
    <row r="2126">
      <c r="A2126" s="56" t="s">
        <v>1431</v>
      </c>
      <c r="M2126" s="56" t="s">
        <v>1944</v>
      </c>
    </row>
    <row r="2127">
      <c r="A2127" s="56" t="s">
        <v>1560</v>
      </c>
      <c r="M2127" s="56" t="s">
        <v>3014</v>
      </c>
    </row>
    <row r="2128">
      <c r="A2128" s="56" t="s">
        <v>1561</v>
      </c>
      <c r="M2128" s="56" t="s">
        <v>3015</v>
      </c>
    </row>
    <row r="2129">
      <c r="A2129" s="56" t="s">
        <v>3016</v>
      </c>
      <c r="M2129" s="56" t="s">
        <v>3017</v>
      </c>
    </row>
    <row r="2130">
      <c r="A2130" s="56" t="s">
        <v>3018</v>
      </c>
      <c r="M2130" s="56" t="s">
        <v>932</v>
      </c>
    </row>
    <row r="2131">
      <c r="A2131" s="56" t="s">
        <v>3019</v>
      </c>
    </row>
    <row r="2132">
      <c r="A2132" s="56" t="s">
        <v>3020</v>
      </c>
      <c r="M2132" s="56" t="s">
        <v>3021</v>
      </c>
    </row>
    <row r="2133">
      <c r="A2133" s="56" t="s">
        <v>2919</v>
      </c>
      <c r="M2133" s="56" t="s">
        <v>3022</v>
      </c>
    </row>
    <row r="2134">
      <c r="A2134" s="56" t="s">
        <v>1431</v>
      </c>
      <c r="M2134" s="56" t="s">
        <v>3023</v>
      </c>
    </row>
    <row r="2135">
      <c r="A2135" s="56" t="s">
        <v>1431</v>
      </c>
      <c r="M2135" s="56" t="s">
        <v>3024</v>
      </c>
    </row>
    <row r="2136">
      <c r="A2136" s="56" t="s">
        <v>1431</v>
      </c>
      <c r="M2136" s="56" t="s">
        <v>3025</v>
      </c>
    </row>
    <row r="2137">
      <c r="A2137" s="56" t="s">
        <v>1431</v>
      </c>
      <c r="M2137" s="56" t="s">
        <v>3026</v>
      </c>
    </row>
    <row r="2138">
      <c r="A2138" s="56" t="s">
        <v>1431</v>
      </c>
      <c r="M2138" s="56" t="s">
        <v>3027</v>
      </c>
    </row>
    <row r="2139">
      <c r="M2139" s="56" t="s">
        <v>932</v>
      </c>
    </row>
    <row r="2140">
      <c r="A2140" s="56" t="s">
        <v>1567</v>
      </c>
    </row>
    <row r="2141">
      <c r="A2141" s="56" t="s">
        <v>3028</v>
      </c>
      <c r="M2141" s="56" t="s">
        <v>3029</v>
      </c>
    </row>
    <row r="2142">
      <c r="A2142" s="56" t="s">
        <v>1506</v>
      </c>
      <c r="M2142" s="56" t="s">
        <v>3030</v>
      </c>
    </row>
    <row r="2143">
      <c r="A2143" s="56" t="s">
        <v>1531</v>
      </c>
      <c r="M2143" s="56" t="s">
        <v>3031</v>
      </c>
    </row>
    <row r="2144">
      <c r="A2144" s="56" t="s">
        <v>3032</v>
      </c>
      <c r="M2144" s="56" t="s">
        <v>3033</v>
      </c>
    </row>
    <row r="2145">
      <c r="A2145" s="56" t="s">
        <v>3034</v>
      </c>
    </row>
    <row r="2146">
      <c r="A2146" s="56" t="s">
        <v>3035</v>
      </c>
      <c r="M2146" s="56" t="s">
        <v>3036</v>
      </c>
    </row>
    <row r="2147">
      <c r="A2147" s="56" t="s">
        <v>3037</v>
      </c>
      <c r="M2147" s="56" t="s">
        <v>3038</v>
      </c>
    </row>
    <row r="2148">
      <c r="A2148" s="56" t="s">
        <v>2941</v>
      </c>
      <c r="M2148" s="56" t="s">
        <v>3039</v>
      </c>
    </row>
    <row r="2149">
      <c r="A2149" s="56" t="s">
        <v>2919</v>
      </c>
      <c r="M2149" s="56" t="s">
        <v>3040</v>
      </c>
    </row>
    <row r="2150">
      <c r="A2150" s="56" t="s">
        <v>1431</v>
      </c>
      <c r="M2150" s="56" t="s">
        <v>3041</v>
      </c>
    </row>
    <row r="2151">
      <c r="A2151" s="56" t="s">
        <v>1431</v>
      </c>
      <c r="M2151" s="56" t="s">
        <v>3042</v>
      </c>
    </row>
    <row r="2152">
      <c r="A2152" s="56" t="s">
        <v>1576</v>
      </c>
      <c r="M2152" s="56" t="s">
        <v>3043</v>
      </c>
    </row>
    <row r="2153">
      <c r="A2153" s="56" t="s">
        <v>1577</v>
      </c>
      <c r="M2153" s="56" t="s">
        <v>3044</v>
      </c>
    </row>
    <row r="2154">
      <c r="A2154" s="56" t="s">
        <v>1578</v>
      </c>
      <c r="M2154" s="56" t="s">
        <v>3045</v>
      </c>
    </row>
    <row r="2155">
      <c r="A2155" s="56" t="s">
        <v>3046</v>
      </c>
      <c r="M2155" s="56" t="s">
        <v>3043</v>
      </c>
    </row>
    <row r="2156">
      <c r="A2156" s="56" t="s">
        <v>1431</v>
      </c>
      <c r="M2156" s="56" t="s">
        <v>3047</v>
      </c>
    </row>
    <row r="2157">
      <c r="A2157" s="56" t="s">
        <v>3048</v>
      </c>
      <c r="M2157" s="56" t="s">
        <v>1944</v>
      </c>
    </row>
    <row r="2158">
      <c r="A2158" s="56" t="s">
        <v>3049</v>
      </c>
      <c r="M2158" s="56" t="s">
        <v>3043</v>
      </c>
    </row>
    <row r="2159">
      <c r="A2159" s="56" t="s">
        <v>3050</v>
      </c>
      <c r="M2159" s="56" t="s">
        <v>3051</v>
      </c>
    </row>
    <row r="2160">
      <c r="A2160" s="56" t="s">
        <v>1628</v>
      </c>
      <c r="M2160" s="56" t="s">
        <v>932</v>
      </c>
    </row>
    <row r="2161">
      <c r="A2161" s="56" t="s">
        <v>3052</v>
      </c>
      <c r="M2161" s="56" t="s">
        <v>932</v>
      </c>
    </row>
    <row r="2162">
      <c r="A2162" s="56" t="s">
        <v>3053</v>
      </c>
    </row>
    <row r="2163">
      <c r="A2163" s="56" t="s">
        <v>1628</v>
      </c>
      <c r="M2163" s="56" t="s">
        <v>3054</v>
      </c>
    </row>
    <row r="2164">
      <c r="A2164" s="56" t="s">
        <v>3055</v>
      </c>
      <c r="M2164" s="56" t="s">
        <v>3056</v>
      </c>
    </row>
    <row r="2165">
      <c r="A2165" s="56" t="s">
        <v>3057</v>
      </c>
      <c r="M2165" s="56" t="s">
        <v>3058</v>
      </c>
    </row>
    <row r="2166">
      <c r="A2166" s="56" t="s">
        <v>3059</v>
      </c>
      <c r="M2166" s="56" t="s">
        <v>3060</v>
      </c>
    </row>
    <row r="2167">
      <c r="A2167" s="56" t="s">
        <v>3061</v>
      </c>
      <c r="M2167" s="56" t="s">
        <v>3062</v>
      </c>
    </row>
    <row r="2168">
      <c r="A2168" s="56" t="s">
        <v>1431</v>
      </c>
      <c r="M2168" s="56" t="s">
        <v>3063</v>
      </c>
    </row>
    <row r="2169">
      <c r="A2169" s="56" t="s">
        <v>3064</v>
      </c>
      <c r="M2169" s="56" t="s">
        <v>3065</v>
      </c>
    </row>
    <row r="2170">
      <c r="A2170" s="56" t="s">
        <v>3066</v>
      </c>
      <c r="M2170" s="56" t="s">
        <v>3067</v>
      </c>
    </row>
    <row r="2171">
      <c r="A2171" s="56" t="s">
        <v>3068</v>
      </c>
      <c r="M2171" s="56" t="s">
        <v>3069</v>
      </c>
    </row>
    <row r="2172">
      <c r="A2172" s="56" t="s">
        <v>3070</v>
      </c>
      <c r="M2172" s="56" t="s">
        <v>3071</v>
      </c>
    </row>
    <row r="2173">
      <c r="A2173" s="56" t="s">
        <v>3072</v>
      </c>
      <c r="M2173" s="56" t="s">
        <v>932</v>
      </c>
    </row>
    <row r="2174">
      <c r="A2174" s="56" t="s">
        <v>1628</v>
      </c>
    </row>
    <row r="2175">
      <c r="A2175" s="56" t="s">
        <v>1431</v>
      </c>
      <c r="M2175" s="56" t="s">
        <v>3073</v>
      </c>
    </row>
    <row r="2176">
      <c r="A2176" s="56" t="s">
        <v>1431</v>
      </c>
      <c r="M2176" s="56" t="s">
        <v>3074</v>
      </c>
    </row>
    <row r="2177">
      <c r="A2177" s="56" t="s">
        <v>3075</v>
      </c>
      <c r="M2177" s="56" t="s">
        <v>932</v>
      </c>
    </row>
    <row r="2178">
      <c r="A2178" s="56" t="s">
        <v>1594</v>
      </c>
    </row>
    <row r="2179">
      <c r="A2179" s="56" t="s">
        <v>1431</v>
      </c>
      <c r="M2179" s="56" t="s">
        <v>3076</v>
      </c>
    </row>
    <row r="2180">
      <c r="M2180" s="56" t="s">
        <v>2991</v>
      </c>
    </row>
    <row r="2181">
      <c r="A2181" s="56" t="s">
        <v>1597</v>
      </c>
      <c r="M2181" s="56" t="s">
        <v>2791</v>
      </c>
    </row>
    <row r="2182">
      <c r="A2182" s="56" t="s">
        <v>3077</v>
      </c>
      <c r="M2182" s="56" t="s">
        <v>3021</v>
      </c>
    </row>
    <row r="2183">
      <c r="A2183" s="56" t="s">
        <v>3078</v>
      </c>
      <c r="M2183" s="56" t="s">
        <v>2844</v>
      </c>
    </row>
    <row r="2184">
      <c r="A2184" s="56" t="s">
        <v>3079</v>
      </c>
      <c r="M2184" s="56" t="s">
        <v>3080</v>
      </c>
    </row>
    <row r="2185">
      <c r="A2185" s="56" t="s">
        <v>3081</v>
      </c>
      <c r="M2185" s="56" t="s">
        <v>3082</v>
      </c>
    </row>
    <row r="2186">
      <c r="A2186" s="56" t="s">
        <v>3083</v>
      </c>
      <c r="M2186" s="56" t="s">
        <v>3084</v>
      </c>
    </row>
    <row r="2187">
      <c r="A2187" s="56" t="s">
        <v>1431</v>
      </c>
      <c r="M2187" s="56" t="s">
        <v>2945</v>
      </c>
    </row>
    <row r="2188">
      <c r="A2188" s="56" t="s">
        <v>3085</v>
      </c>
      <c r="M2188" s="56" t="s">
        <v>3086</v>
      </c>
    </row>
    <row r="2189">
      <c r="A2189" s="56" t="s">
        <v>1431</v>
      </c>
      <c r="M2189" s="56" t="s">
        <v>3087</v>
      </c>
    </row>
    <row r="2190">
      <c r="A2190" s="56" t="s">
        <v>1431</v>
      </c>
      <c r="M2190" s="56" t="s">
        <v>932</v>
      </c>
    </row>
    <row r="2191">
      <c r="A2191" s="56" t="s">
        <v>1431</v>
      </c>
      <c r="M2191" s="56" t="s">
        <v>3088</v>
      </c>
    </row>
    <row r="2192">
      <c r="M2192" s="56" t="s">
        <v>3023</v>
      </c>
    </row>
    <row r="2193">
      <c r="A2193" s="56" t="s">
        <v>1606</v>
      </c>
      <c r="M2193" s="56" t="s">
        <v>3089</v>
      </c>
    </row>
    <row r="2194">
      <c r="A2194" s="56" t="s">
        <v>3090</v>
      </c>
      <c r="M2194" s="56" t="s">
        <v>3091</v>
      </c>
    </row>
    <row r="2195">
      <c r="A2195" s="56" t="s">
        <v>1506</v>
      </c>
      <c r="M2195" s="56" t="s">
        <v>932</v>
      </c>
    </row>
    <row r="2196">
      <c r="A2196" s="56" t="s">
        <v>1531</v>
      </c>
      <c r="M2196" s="56" t="s">
        <v>3092</v>
      </c>
    </row>
    <row r="2197">
      <c r="A2197" s="56" t="s">
        <v>1608</v>
      </c>
      <c r="M2197" s="56" t="s">
        <v>3093</v>
      </c>
    </row>
    <row r="2198">
      <c r="A2198" s="56" t="s">
        <v>2980</v>
      </c>
      <c r="M2198" s="56" t="s">
        <v>3094</v>
      </c>
    </row>
    <row r="2199">
      <c r="A2199" s="56" t="s">
        <v>2982</v>
      </c>
      <c r="M2199" s="56" t="s">
        <v>3095</v>
      </c>
    </row>
    <row r="2200">
      <c r="A2200" s="56" t="s">
        <v>3096</v>
      </c>
      <c r="M2200" s="56" t="s">
        <v>3097</v>
      </c>
    </row>
    <row r="2201">
      <c r="A2201" s="56" t="s">
        <v>1615</v>
      </c>
      <c r="M2201" s="56" t="s">
        <v>932</v>
      </c>
    </row>
    <row r="2202">
      <c r="A2202" s="56" t="s">
        <v>1431</v>
      </c>
      <c r="M2202" s="56" t="s">
        <v>3098</v>
      </c>
    </row>
    <row r="2203">
      <c r="A2203" s="56" t="s">
        <v>1576</v>
      </c>
      <c r="M2203" s="56" t="s">
        <v>3099</v>
      </c>
    </row>
    <row r="2204">
      <c r="A2204" s="56" t="s">
        <v>1577</v>
      </c>
      <c r="M2204" s="56" t="s">
        <v>1929</v>
      </c>
    </row>
    <row r="2205">
      <c r="A2205" s="56" t="s">
        <v>2822</v>
      </c>
      <c r="M2205" s="56" t="s">
        <v>1930</v>
      </c>
    </row>
    <row r="2206">
      <c r="A2206" s="56" t="s">
        <v>3100</v>
      </c>
      <c r="M2206" s="56" t="s">
        <v>3101</v>
      </c>
    </row>
    <row r="2207">
      <c r="A2207" s="56" t="s">
        <v>3102</v>
      </c>
      <c r="M2207" s="56" t="s">
        <v>2514</v>
      </c>
    </row>
    <row r="2208">
      <c r="A2208" s="56" t="s">
        <v>1870</v>
      </c>
      <c r="M2208" s="56" t="s">
        <v>3103</v>
      </c>
    </row>
    <row r="2209">
      <c r="A2209" s="56" t="s">
        <v>3104</v>
      </c>
      <c r="M2209" s="56" t="s">
        <v>3105</v>
      </c>
    </row>
    <row r="2210">
      <c r="A2210" s="56" t="s">
        <v>1431</v>
      </c>
      <c r="M2210" s="56" t="s">
        <v>3106</v>
      </c>
    </row>
    <row r="2211">
      <c r="A2211" s="56" t="s">
        <v>3107</v>
      </c>
      <c r="M2211" s="56" t="s">
        <v>1946</v>
      </c>
    </row>
    <row r="2212">
      <c r="A2212" s="56" t="s">
        <v>3108</v>
      </c>
      <c r="M2212" s="56" t="s">
        <v>3109</v>
      </c>
    </row>
    <row r="2213">
      <c r="A2213" s="56" t="s">
        <v>3110</v>
      </c>
      <c r="M2213" s="56" t="s">
        <v>3111</v>
      </c>
    </row>
    <row r="2214">
      <c r="A2214" s="56" t="s">
        <v>3112</v>
      </c>
      <c r="M2214" s="56" t="s">
        <v>932</v>
      </c>
    </row>
    <row r="2215">
      <c r="A2215" s="56" t="s">
        <v>1624</v>
      </c>
    </row>
    <row r="2216">
      <c r="A2216" s="56" t="s">
        <v>1625</v>
      </c>
      <c r="M2216" s="56" t="s">
        <v>3113</v>
      </c>
    </row>
    <row r="2217">
      <c r="A2217" s="56" t="s">
        <v>1626</v>
      </c>
    </row>
    <row r="2218">
      <c r="A2218" s="56" t="s">
        <v>1627</v>
      </c>
      <c r="M2218" s="56" t="s">
        <v>3114</v>
      </c>
    </row>
    <row r="2219">
      <c r="A2219" s="56" t="s">
        <v>3115</v>
      </c>
      <c r="M2219" s="56" t="s">
        <v>1929</v>
      </c>
    </row>
    <row r="2220">
      <c r="A2220" s="56" t="s">
        <v>1628</v>
      </c>
      <c r="M2220" s="56" t="s">
        <v>3116</v>
      </c>
    </row>
    <row r="2221">
      <c r="A2221" s="56" t="s">
        <v>1431</v>
      </c>
      <c r="M2221" s="56" t="s">
        <v>3117</v>
      </c>
    </row>
    <row r="2222">
      <c r="A2222" s="56" t="s">
        <v>3108</v>
      </c>
      <c r="M2222" s="56" t="s">
        <v>3118</v>
      </c>
    </row>
    <row r="2223">
      <c r="A2223" s="56" t="s">
        <v>3119</v>
      </c>
      <c r="M2223" s="56" t="s">
        <v>932</v>
      </c>
    </row>
    <row r="2224">
      <c r="A2224" s="56" t="s">
        <v>3120</v>
      </c>
    </row>
    <row r="2225">
      <c r="A2225" s="56" t="s">
        <v>3121</v>
      </c>
      <c r="M2225" s="56" t="s">
        <v>3122</v>
      </c>
    </row>
    <row r="2226">
      <c r="A2226" s="56" t="s">
        <v>3070</v>
      </c>
      <c r="M2226" s="56" t="s">
        <v>3123</v>
      </c>
    </row>
    <row r="2227">
      <c r="A2227" s="56" t="s">
        <v>3072</v>
      </c>
      <c r="M2227" s="56" t="s">
        <v>3124</v>
      </c>
    </row>
    <row r="2228">
      <c r="A2228" s="56" t="s">
        <v>3125</v>
      </c>
      <c r="M2228" s="56" t="s">
        <v>3126</v>
      </c>
    </row>
    <row r="2229">
      <c r="A2229" s="56" t="s">
        <v>1628</v>
      </c>
      <c r="M2229" s="56" t="s">
        <v>3127</v>
      </c>
    </row>
    <row r="2230">
      <c r="A2230" s="56" t="s">
        <v>1431</v>
      </c>
      <c r="M2230" s="56" t="s">
        <v>3128</v>
      </c>
    </row>
    <row r="2231">
      <c r="A2231" s="56" t="s">
        <v>3129</v>
      </c>
      <c r="M2231" s="56" t="s">
        <v>932</v>
      </c>
    </row>
    <row r="2232">
      <c r="A2232" s="56" t="s">
        <v>3130</v>
      </c>
    </row>
    <row r="2233">
      <c r="A2233" s="56" t="s">
        <v>3131</v>
      </c>
      <c r="M2233" s="56" t="s">
        <v>3132</v>
      </c>
    </row>
    <row r="2234">
      <c r="A2234" s="56" t="s">
        <v>2919</v>
      </c>
      <c r="M2234" s="56" t="s">
        <v>3133</v>
      </c>
    </row>
    <row r="2235">
      <c r="A2235" s="56" t="s">
        <v>1431</v>
      </c>
      <c r="M2235" s="56" t="s">
        <v>3134</v>
      </c>
    </row>
    <row r="2236">
      <c r="A2236" s="56" t="s">
        <v>1431</v>
      </c>
      <c r="M2236" s="56" t="s">
        <v>3135</v>
      </c>
    </row>
    <row r="2237">
      <c r="A2237" s="56" t="s">
        <v>3136</v>
      </c>
      <c r="M2237" s="56" t="s">
        <v>1929</v>
      </c>
    </row>
    <row r="2238">
      <c r="A2238" s="56" t="s">
        <v>2934</v>
      </c>
      <c r="M2238" s="56" t="s">
        <v>3137</v>
      </c>
    </row>
    <row r="2239">
      <c r="A2239" s="56" t="s">
        <v>1431</v>
      </c>
      <c r="M2239" s="56" t="s">
        <v>3138</v>
      </c>
    </row>
    <row r="2240">
      <c r="A2240" s="56" t="s">
        <v>1634</v>
      </c>
      <c r="M2240" s="56" t="s">
        <v>3139</v>
      </c>
    </row>
    <row r="2241">
      <c r="A2241" s="56" t="s">
        <v>1431</v>
      </c>
      <c r="M2241" s="56" t="s">
        <v>932</v>
      </c>
    </row>
    <row r="2242">
      <c r="A2242" s="56" t="s">
        <v>1431</v>
      </c>
      <c r="M2242" s="56" t="s">
        <v>3140</v>
      </c>
    </row>
    <row r="2243">
      <c r="M2243" s="56" t="s">
        <v>3141</v>
      </c>
    </row>
    <row r="2244">
      <c r="A2244" s="56" t="s">
        <v>1636</v>
      </c>
      <c r="M2244" s="56" t="s">
        <v>3142</v>
      </c>
    </row>
    <row r="2245">
      <c r="A2245" s="56" t="s">
        <v>3143</v>
      </c>
      <c r="M2245" s="56" t="s">
        <v>3144</v>
      </c>
    </row>
    <row r="2246">
      <c r="A2246" s="56" t="s">
        <v>3145</v>
      </c>
      <c r="M2246" s="56" t="s">
        <v>3146</v>
      </c>
    </row>
    <row r="2247">
      <c r="A2247" s="56" t="s">
        <v>1531</v>
      </c>
      <c r="M2247" s="56" t="s">
        <v>3147</v>
      </c>
    </row>
    <row r="2248">
      <c r="A2248" s="56" t="s">
        <v>1642</v>
      </c>
      <c r="M2248" s="56" t="s">
        <v>3148</v>
      </c>
    </row>
    <row r="2249">
      <c r="A2249" s="56" t="s">
        <v>3149</v>
      </c>
      <c r="M2249" s="56" t="s">
        <v>3150</v>
      </c>
    </row>
    <row r="2250">
      <c r="A2250" s="56" t="s">
        <v>1431</v>
      </c>
      <c r="M2250" s="56" t="s">
        <v>3151</v>
      </c>
    </row>
    <row r="2251">
      <c r="A2251" s="56" t="s">
        <v>1535</v>
      </c>
      <c r="M2251" s="56" t="s">
        <v>3152</v>
      </c>
    </row>
    <row r="2252">
      <c r="A2252" s="56" t="s">
        <v>3153</v>
      </c>
      <c r="M2252" s="56" t="s">
        <v>3154</v>
      </c>
    </row>
    <row r="2253">
      <c r="A2253" s="56" t="s">
        <v>3155</v>
      </c>
      <c r="M2253" s="56" t="s">
        <v>3156</v>
      </c>
    </row>
    <row r="2254">
      <c r="A2254" s="56" t="s">
        <v>3157</v>
      </c>
      <c r="M2254" s="56" t="s">
        <v>3158</v>
      </c>
    </row>
    <row r="2255">
      <c r="A2255" s="56" t="s">
        <v>3159</v>
      </c>
      <c r="M2255" s="56" t="s">
        <v>3160</v>
      </c>
    </row>
    <row r="2256">
      <c r="A2256" s="56" t="s">
        <v>3161</v>
      </c>
      <c r="M2256" s="56" t="s">
        <v>3162</v>
      </c>
    </row>
    <row r="2257">
      <c r="A2257" s="56" t="s">
        <v>1431</v>
      </c>
      <c r="M2257" s="56" t="s">
        <v>3163</v>
      </c>
    </row>
    <row r="2258">
      <c r="A2258" s="56" t="s">
        <v>3164</v>
      </c>
      <c r="M2258" s="56" t="s">
        <v>3165</v>
      </c>
    </row>
    <row r="2259">
      <c r="A2259" s="56" t="s">
        <v>1431</v>
      </c>
      <c r="M2259" s="56" t="s">
        <v>3166</v>
      </c>
    </row>
    <row r="2260">
      <c r="A2260" s="56" t="s">
        <v>3167</v>
      </c>
      <c r="M2260" s="56" t="s">
        <v>3168</v>
      </c>
    </row>
    <row r="2261">
      <c r="A2261" s="56" t="s">
        <v>1543</v>
      </c>
      <c r="M2261" s="56" t="s">
        <v>2215</v>
      </c>
    </row>
    <row r="2262">
      <c r="A2262" s="56" t="s">
        <v>1650</v>
      </c>
      <c r="M2262" s="56" t="s">
        <v>2217</v>
      </c>
    </row>
    <row r="2263">
      <c r="A2263" s="56" t="s">
        <v>3169</v>
      </c>
      <c r="M2263" s="56" t="s">
        <v>932</v>
      </c>
    </row>
    <row r="2264">
      <c r="A2264" s="56" t="s">
        <v>3170</v>
      </c>
      <c r="M2264" s="56" t="s">
        <v>2218</v>
      </c>
    </row>
    <row r="2265">
      <c r="A2265" s="56" t="s">
        <v>3171</v>
      </c>
      <c r="M2265" s="56" t="s">
        <v>3172</v>
      </c>
    </row>
    <row r="2266">
      <c r="A2266" s="56" t="s">
        <v>1653</v>
      </c>
      <c r="M2266" s="56" t="s">
        <v>932</v>
      </c>
    </row>
    <row r="2267">
      <c r="A2267" s="56" t="s">
        <v>3173</v>
      </c>
    </row>
    <row r="2268">
      <c r="A2268" s="56" t="s">
        <v>3174</v>
      </c>
      <c r="M2268" s="56" t="s">
        <v>3175</v>
      </c>
    </row>
    <row r="2269">
      <c r="A2269" s="56" t="s">
        <v>1431</v>
      </c>
      <c r="M2269" s="56" t="s">
        <v>3176</v>
      </c>
    </row>
    <row r="2270">
      <c r="A2270" s="56" t="s">
        <v>3177</v>
      </c>
      <c r="M2270" s="56" t="s">
        <v>3178</v>
      </c>
    </row>
    <row r="2271">
      <c r="A2271" s="56" t="s">
        <v>1431</v>
      </c>
      <c r="M2271" s="56" t="s">
        <v>3179</v>
      </c>
    </row>
    <row r="2272">
      <c r="A2272" s="56" t="s">
        <v>3180</v>
      </c>
      <c r="M2272" s="56" t="s">
        <v>2791</v>
      </c>
    </row>
    <row r="2273">
      <c r="A2273" s="56" t="s">
        <v>3181</v>
      </c>
      <c r="M2273" s="56" t="s">
        <v>3142</v>
      </c>
    </row>
    <row r="2274">
      <c r="A2274" s="56" t="s">
        <v>3182</v>
      </c>
    </row>
    <row r="2275">
      <c r="A2275" s="56" t="s">
        <v>2266</v>
      </c>
      <c r="M2275" s="56" t="s">
        <v>3183</v>
      </c>
    </row>
    <row r="2276">
      <c r="A2276" s="56" t="s">
        <v>3184</v>
      </c>
      <c r="M2276" s="56" t="s">
        <v>1493</v>
      </c>
    </row>
    <row r="2277">
      <c r="A2277" s="56" t="s">
        <v>3185</v>
      </c>
      <c r="M2277" s="56" t="s">
        <v>3186</v>
      </c>
    </row>
    <row r="2278">
      <c r="A2278" s="56" t="s">
        <v>3187</v>
      </c>
      <c r="M2278" s="56" t="s">
        <v>3188</v>
      </c>
    </row>
    <row r="2279">
      <c r="A2279" s="56" t="s">
        <v>3189</v>
      </c>
      <c r="M2279" s="56" t="s">
        <v>1431</v>
      </c>
    </row>
    <row r="2280">
      <c r="A2280" s="56" t="s">
        <v>2271</v>
      </c>
      <c r="M2280" s="56" t="s">
        <v>3190</v>
      </c>
    </row>
    <row r="2281">
      <c r="A2281" s="56" t="s">
        <v>1666</v>
      </c>
      <c r="M2281" s="56" t="s">
        <v>2080</v>
      </c>
    </row>
    <row r="2282">
      <c r="A2282" s="56" t="s">
        <v>1667</v>
      </c>
    </row>
    <row r="2283">
      <c r="A2283" s="56" t="s">
        <v>1668</v>
      </c>
      <c r="M2283" s="56" t="s">
        <v>3191</v>
      </c>
    </row>
    <row r="2284">
      <c r="A2284" s="56" t="s">
        <v>1431</v>
      </c>
      <c r="M2284" s="56" t="s">
        <v>3192</v>
      </c>
    </row>
    <row r="2285">
      <c r="A2285" s="56" t="s">
        <v>1543</v>
      </c>
      <c r="M2285" s="56" t="s">
        <v>3193</v>
      </c>
    </row>
    <row r="2286">
      <c r="A2286" s="56" t="s">
        <v>3194</v>
      </c>
      <c r="M2286" s="56" t="s">
        <v>3195</v>
      </c>
    </row>
    <row r="2287">
      <c r="A2287" s="56" t="s">
        <v>3196</v>
      </c>
      <c r="M2287" s="56" t="s">
        <v>1431</v>
      </c>
    </row>
    <row r="2288">
      <c r="A2288" s="56" t="s">
        <v>1431</v>
      </c>
      <c r="M2288" s="56" t="s">
        <v>3192</v>
      </c>
    </row>
    <row r="2289">
      <c r="A2289" s="56" t="s">
        <v>1560</v>
      </c>
      <c r="M2289" s="56" t="s">
        <v>3197</v>
      </c>
    </row>
    <row r="2290">
      <c r="A2290" s="56" t="s">
        <v>1675</v>
      </c>
      <c r="M2290" s="56" t="s">
        <v>3198</v>
      </c>
    </row>
    <row r="2291">
      <c r="A2291" s="56" t="s">
        <v>3016</v>
      </c>
      <c r="M2291" s="56" t="s">
        <v>1431</v>
      </c>
    </row>
    <row r="2292">
      <c r="A2292" s="56" t="s">
        <v>3199</v>
      </c>
      <c r="M2292" s="56" t="s">
        <v>3192</v>
      </c>
    </row>
    <row r="2293">
      <c r="A2293" s="56" t="s">
        <v>3200</v>
      </c>
      <c r="M2293" s="56" t="s">
        <v>3201</v>
      </c>
    </row>
    <row r="2294">
      <c r="A2294" s="56" t="s">
        <v>1431</v>
      </c>
      <c r="M2294" s="56" t="s">
        <v>3202</v>
      </c>
    </row>
    <row r="2295">
      <c r="A2295" s="56" t="s">
        <v>1431</v>
      </c>
      <c r="M2295" s="56" t="s">
        <v>1431</v>
      </c>
    </row>
    <row r="2296">
      <c r="A2296" s="56" t="s">
        <v>1431</v>
      </c>
      <c r="M2296" s="56" t="s">
        <v>2080</v>
      </c>
    </row>
    <row r="2297">
      <c r="A2297" s="56" t="s">
        <v>3203</v>
      </c>
    </row>
    <row r="2298">
      <c r="A2298" s="56" t="s">
        <v>3204</v>
      </c>
      <c r="M2298" s="56" t="s">
        <v>3205</v>
      </c>
    </row>
    <row r="2299">
      <c r="A2299" s="56" t="s">
        <v>1431</v>
      </c>
      <c r="M2299" s="56" t="s">
        <v>3206</v>
      </c>
    </row>
    <row r="2300">
      <c r="A2300" s="56" t="s">
        <v>1431</v>
      </c>
      <c r="M2300" s="56" t="s">
        <v>3207</v>
      </c>
    </row>
    <row r="2301">
      <c r="A2301" s="56" t="s">
        <v>1431</v>
      </c>
      <c r="M2301" s="56" t="s">
        <v>3208</v>
      </c>
    </row>
    <row r="2302">
      <c r="M2302" s="56" t="s">
        <v>3209</v>
      </c>
    </row>
    <row r="2303">
      <c r="A2303" s="56" t="s">
        <v>1687</v>
      </c>
      <c r="M2303" s="56" t="s">
        <v>3210</v>
      </c>
    </row>
    <row r="2304">
      <c r="A2304" s="56" t="s">
        <v>1506</v>
      </c>
      <c r="M2304" s="56" t="s">
        <v>3211</v>
      </c>
    </row>
    <row r="2305">
      <c r="A2305" s="56" t="s">
        <v>1531</v>
      </c>
      <c r="M2305" s="56" t="s">
        <v>3212</v>
      </c>
    </row>
    <row r="2306">
      <c r="A2306" s="56" t="s">
        <v>3213</v>
      </c>
      <c r="M2306" s="56" t="s">
        <v>2080</v>
      </c>
    </row>
    <row r="2307">
      <c r="A2307" s="56" t="s">
        <v>3214</v>
      </c>
      <c r="M2307" s="56" t="s">
        <v>932</v>
      </c>
    </row>
    <row r="2308">
      <c r="A2308" s="56" t="s">
        <v>1431</v>
      </c>
    </row>
    <row r="2309">
      <c r="A2309" s="56" t="s">
        <v>1535</v>
      </c>
      <c r="M2309" s="56" t="s">
        <v>2929</v>
      </c>
    </row>
    <row r="2310">
      <c r="A2310" s="56" t="s">
        <v>3215</v>
      </c>
      <c r="M2310" s="56" t="s">
        <v>2931</v>
      </c>
    </row>
    <row r="2311">
      <c r="A2311" s="56" t="s">
        <v>3216</v>
      </c>
      <c r="M2311" s="56" t="s">
        <v>3217</v>
      </c>
    </row>
    <row r="2312">
      <c r="A2312" s="56" t="s">
        <v>3218</v>
      </c>
      <c r="M2312" s="56" t="s">
        <v>3219</v>
      </c>
    </row>
    <row r="2313">
      <c r="A2313" s="56" t="s">
        <v>1431</v>
      </c>
      <c r="M2313" s="56" t="s">
        <v>3220</v>
      </c>
    </row>
    <row r="2314">
      <c r="A2314" s="56" t="s">
        <v>3221</v>
      </c>
      <c r="M2314" s="56" t="s">
        <v>3222</v>
      </c>
    </row>
    <row r="2315">
      <c r="A2315" s="56" t="s">
        <v>1431</v>
      </c>
      <c r="M2315" s="56" t="s">
        <v>1431</v>
      </c>
    </row>
    <row r="2316">
      <c r="A2316" s="56" t="s">
        <v>3223</v>
      </c>
      <c r="M2316" s="56" t="s">
        <v>3224</v>
      </c>
    </row>
    <row r="2317">
      <c r="A2317" s="56" t="s">
        <v>1431</v>
      </c>
      <c r="M2317" s="56" t="s">
        <v>3225</v>
      </c>
    </row>
    <row r="2318">
      <c r="A2318" s="56" t="s">
        <v>1431</v>
      </c>
      <c r="M2318" s="56" t="s">
        <v>3226</v>
      </c>
    </row>
    <row r="2319">
      <c r="A2319" s="56" t="s">
        <v>3227</v>
      </c>
      <c r="M2319" s="56" t="s">
        <v>3228</v>
      </c>
    </row>
    <row r="2320">
      <c r="A2320" s="56" t="s">
        <v>3229</v>
      </c>
      <c r="M2320" s="56" t="s">
        <v>1666</v>
      </c>
    </row>
    <row r="2321">
      <c r="A2321" s="56" t="s">
        <v>1543</v>
      </c>
      <c r="M2321" s="56" t="s">
        <v>2264</v>
      </c>
    </row>
    <row r="2322">
      <c r="A2322" s="56" t="s">
        <v>3230</v>
      </c>
      <c r="M2322" s="56" t="s">
        <v>2266</v>
      </c>
    </row>
    <row r="2323">
      <c r="A2323" s="56" t="s">
        <v>3231</v>
      </c>
      <c r="M2323" s="56" t="s">
        <v>3232</v>
      </c>
    </row>
    <row r="2324">
      <c r="A2324" s="56" t="s">
        <v>3233</v>
      </c>
      <c r="M2324" s="56" t="s">
        <v>3234</v>
      </c>
    </row>
    <row r="2325">
      <c r="A2325" s="56" t="s">
        <v>1431</v>
      </c>
      <c r="M2325" s="56" t="s">
        <v>3235</v>
      </c>
    </row>
    <row r="2326">
      <c r="A2326" s="56" t="s">
        <v>3236</v>
      </c>
      <c r="M2326" s="56" t="s">
        <v>2217</v>
      </c>
    </row>
    <row r="2327">
      <c r="A2327" s="56" t="s">
        <v>3237</v>
      </c>
    </row>
    <row r="2328">
      <c r="A2328" s="56" t="s">
        <v>1431</v>
      </c>
      <c r="M2328" s="56" t="s">
        <v>3205</v>
      </c>
    </row>
    <row r="2329">
      <c r="A2329" s="56" t="s">
        <v>1543</v>
      </c>
      <c r="M2329" s="56" t="s">
        <v>3238</v>
      </c>
    </row>
    <row r="2330">
      <c r="A2330" s="56" t="s">
        <v>1560</v>
      </c>
      <c r="M2330" s="56" t="s">
        <v>3239</v>
      </c>
    </row>
    <row r="2331">
      <c r="A2331" s="56" t="s">
        <v>1704</v>
      </c>
      <c r="M2331" s="56" t="s">
        <v>3240</v>
      </c>
    </row>
    <row r="2332">
      <c r="A2332" s="56" t="s">
        <v>3016</v>
      </c>
      <c r="M2332" s="56" t="s">
        <v>3241</v>
      </c>
    </row>
    <row r="2333">
      <c r="A2333" s="56" t="s">
        <v>3242</v>
      </c>
      <c r="M2333" s="56" t="s">
        <v>2217</v>
      </c>
    </row>
    <row r="2334">
      <c r="A2334" s="56" t="s">
        <v>3243</v>
      </c>
    </row>
    <row r="2335">
      <c r="A2335" s="56" t="s">
        <v>3244</v>
      </c>
      <c r="M2335" s="56" t="s">
        <v>3245</v>
      </c>
    </row>
    <row r="2336">
      <c r="A2336" s="56" t="s">
        <v>2919</v>
      </c>
      <c r="M2336" s="56" t="s">
        <v>3246</v>
      </c>
    </row>
    <row r="2337">
      <c r="A2337" s="56" t="s">
        <v>1431</v>
      </c>
    </row>
    <row r="2338">
      <c r="A2338" s="56" t="s">
        <v>1431</v>
      </c>
      <c r="M2338" s="56" t="s">
        <v>3247</v>
      </c>
    </row>
    <row r="2339">
      <c r="A2339" s="56" t="s">
        <v>1431</v>
      </c>
      <c r="M2339" s="56" t="s">
        <v>3248</v>
      </c>
    </row>
    <row r="2340">
      <c r="A2340" s="56" t="s">
        <v>1431</v>
      </c>
      <c r="M2340" s="56" t="s">
        <v>3249</v>
      </c>
    </row>
    <row r="2341">
      <c r="A2341" s="56" t="s">
        <v>1431</v>
      </c>
      <c r="M2341" s="56" t="s">
        <v>3250</v>
      </c>
    </row>
    <row r="2342">
      <c r="M2342" s="56" t="s">
        <v>2945</v>
      </c>
    </row>
    <row r="2343">
      <c r="A2343" s="56" t="s">
        <v>1710</v>
      </c>
      <c r="M2343" s="56" t="s">
        <v>3251</v>
      </c>
    </row>
    <row r="2344">
      <c r="A2344" s="56" t="s">
        <v>3252</v>
      </c>
      <c r="M2344" s="56" t="s">
        <v>3253</v>
      </c>
    </row>
    <row r="2345">
      <c r="A2345" s="56" t="s">
        <v>1506</v>
      </c>
      <c r="M2345" s="56" t="s">
        <v>3254</v>
      </c>
    </row>
    <row r="2346">
      <c r="A2346" s="56" t="s">
        <v>1531</v>
      </c>
      <c r="M2346" s="56" t="s">
        <v>3255</v>
      </c>
    </row>
    <row r="2347">
      <c r="A2347" s="56" t="s">
        <v>3256</v>
      </c>
      <c r="M2347" s="56" t="s">
        <v>932</v>
      </c>
    </row>
    <row r="2348">
      <c r="A2348" s="56" t="s">
        <v>3257</v>
      </c>
      <c r="M2348" s="56" t="s">
        <v>3258</v>
      </c>
    </row>
    <row r="2349">
      <c r="A2349" s="56" t="s">
        <v>2941</v>
      </c>
      <c r="M2349" s="56" t="s">
        <v>932</v>
      </c>
    </row>
    <row r="2350">
      <c r="A2350" s="56" t="s">
        <v>2919</v>
      </c>
      <c r="M2350" s="56" t="s">
        <v>932</v>
      </c>
    </row>
    <row r="2351">
      <c r="A2351" s="56" t="s">
        <v>1431</v>
      </c>
      <c r="M2351" s="56" t="s">
        <v>2218</v>
      </c>
    </row>
    <row r="2352">
      <c r="A2352" s="56" t="s">
        <v>3259</v>
      </c>
    </row>
    <row r="2353">
      <c r="A2353" s="56" t="s">
        <v>2934</v>
      </c>
      <c r="M2353" s="56" t="s">
        <v>3260</v>
      </c>
    </row>
    <row r="2354">
      <c r="A2354" s="56" t="s">
        <v>1431</v>
      </c>
      <c r="M2354" s="56" t="s">
        <v>3261</v>
      </c>
    </row>
    <row r="2355">
      <c r="A2355" s="56" t="s">
        <v>1431</v>
      </c>
      <c r="M2355" s="56" t="s">
        <v>3262</v>
      </c>
    </row>
    <row r="2356">
      <c r="A2356" s="56" t="s">
        <v>1431</v>
      </c>
      <c r="M2356" s="56" t="s">
        <v>3263</v>
      </c>
    </row>
    <row r="2357">
      <c r="M2357" s="56" t="s">
        <v>3264</v>
      </c>
    </row>
    <row r="2358">
      <c r="A2358" s="56" t="s">
        <v>1721</v>
      </c>
      <c r="M2358" s="56" t="s">
        <v>3265</v>
      </c>
    </row>
    <row r="2359">
      <c r="A2359" s="56" t="s">
        <v>3266</v>
      </c>
      <c r="M2359" s="56" t="s">
        <v>3267</v>
      </c>
    </row>
    <row r="2360">
      <c r="A2360" s="56" t="s">
        <v>3268</v>
      </c>
      <c r="M2360" s="56" t="s">
        <v>3269</v>
      </c>
    </row>
    <row r="2361">
      <c r="A2361" s="56" t="s">
        <v>2934</v>
      </c>
      <c r="M2361" s="56" t="s">
        <v>3270</v>
      </c>
    </row>
    <row r="2362">
      <c r="A2362" s="56" t="s">
        <v>1431</v>
      </c>
    </row>
    <row r="2363">
      <c r="A2363" s="56" t="s">
        <v>1506</v>
      </c>
      <c r="M2363" s="56" t="s">
        <v>3271</v>
      </c>
    </row>
    <row r="2364">
      <c r="A2364" s="56" t="s">
        <v>1531</v>
      </c>
      <c r="M2364" s="56" t="s">
        <v>3272</v>
      </c>
    </row>
    <row r="2365">
      <c r="A2365" s="56" t="s">
        <v>3273</v>
      </c>
      <c r="M2365" s="56" t="s">
        <v>3274</v>
      </c>
    </row>
    <row r="2366">
      <c r="A2366" s="56" t="s">
        <v>2980</v>
      </c>
    </row>
    <row r="2367">
      <c r="A2367" s="56" t="s">
        <v>2982</v>
      </c>
      <c r="M2367" s="56" t="s">
        <v>3275</v>
      </c>
    </row>
    <row r="2368">
      <c r="A2368" s="56" t="s">
        <v>3276</v>
      </c>
      <c r="M2368" s="56" t="s">
        <v>3277</v>
      </c>
    </row>
    <row r="2369">
      <c r="A2369" s="56" t="s">
        <v>1615</v>
      </c>
      <c r="M2369" s="56" t="s">
        <v>3278</v>
      </c>
    </row>
    <row r="2370">
      <c r="A2370" s="56" t="s">
        <v>1431</v>
      </c>
      <c r="M2370" s="56" t="s">
        <v>932</v>
      </c>
    </row>
    <row r="2371">
      <c r="A2371" s="56" t="s">
        <v>1576</v>
      </c>
      <c r="M2371" s="56" t="s">
        <v>3279</v>
      </c>
    </row>
    <row r="2372">
      <c r="A2372" s="56" t="s">
        <v>1577</v>
      </c>
      <c r="M2372" s="56" t="s">
        <v>3275</v>
      </c>
    </row>
    <row r="2373">
      <c r="A2373" s="56" t="s">
        <v>2822</v>
      </c>
      <c r="M2373" s="56" t="s">
        <v>3280</v>
      </c>
    </row>
    <row r="2374">
      <c r="A2374" s="56" t="s">
        <v>3100</v>
      </c>
      <c r="M2374" s="56" t="s">
        <v>932</v>
      </c>
    </row>
    <row r="2375">
      <c r="A2375" s="56" t="s">
        <v>3102</v>
      </c>
      <c r="M2375" s="56" t="s">
        <v>3281</v>
      </c>
    </row>
    <row r="2376">
      <c r="A2376" s="56" t="s">
        <v>1870</v>
      </c>
    </row>
    <row r="2377">
      <c r="A2377" s="56" t="s">
        <v>1729</v>
      </c>
      <c r="M2377" s="56" t="s">
        <v>3282</v>
      </c>
    </row>
    <row r="2378">
      <c r="A2378" s="56" t="s">
        <v>1431</v>
      </c>
      <c r="M2378" s="56" t="s">
        <v>3283</v>
      </c>
    </row>
    <row r="2379">
      <c r="A2379" s="56" t="s">
        <v>3107</v>
      </c>
      <c r="M2379" s="56" t="s">
        <v>3284</v>
      </c>
    </row>
    <row r="2380">
      <c r="A2380" s="56" t="s">
        <v>3108</v>
      </c>
      <c r="M2380" s="56" t="s">
        <v>3285</v>
      </c>
    </row>
    <row r="2381">
      <c r="A2381" s="56" t="s">
        <v>3110</v>
      </c>
      <c r="M2381" s="56" t="s">
        <v>3286</v>
      </c>
    </row>
    <row r="2382">
      <c r="A2382" s="56" t="s">
        <v>3287</v>
      </c>
      <c r="M2382" s="56" t="s">
        <v>2080</v>
      </c>
    </row>
    <row r="2383">
      <c r="A2383" s="56" t="s">
        <v>3288</v>
      </c>
      <c r="M2383" s="56" t="s">
        <v>932</v>
      </c>
    </row>
    <row r="2384">
      <c r="A2384" s="56" t="s">
        <v>3289</v>
      </c>
      <c r="M2384" s="56" t="s">
        <v>3281</v>
      </c>
    </row>
    <row r="2385">
      <c r="A2385" s="56" t="s">
        <v>3290</v>
      </c>
      <c r="M2385" s="56" t="s">
        <v>932</v>
      </c>
    </row>
    <row r="2386">
      <c r="A2386" s="56" t="s">
        <v>3291</v>
      </c>
      <c r="M2386" s="56" t="s">
        <v>3292</v>
      </c>
    </row>
    <row r="2387">
      <c r="A2387" s="56" t="s">
        <v>3293</v>
      </c>
      <c r="M2387" s="56" t="s">
        <v>932</v>
      </c>
    </row>
    <row r="2388">
      <c r="A2388" s="56" t="s">
        <v>3294</v>
      </c>
    </row>
    <row r="2389">
      <c r="A2389" s="56" t="s">
        <v>1624</v>
      </c>
      <c r="M2389" s="56" t="s">
        <v>3295</v>
      </c>
    </row>
    <row r="2390">
      <c r="A2390" s="56" t="s">
        <v>1628</v>
      </c>
      <c r="M2390" s="56" t="s">
        <v>3296</v>
      </c>
    </row>
    <row r="2391">
      <c r="A2391" s="56" t="s">
        <v>1431</v>
      </c>
      <c r="M2391" s="56" t="s">
        <v>3297</v>
      </c>
    </row>
    <row r="2392">
      <c r="A2392" s="56" t="s">
        <v>3298</v>
      </c>
    </row>
    <row r="2393">
      <c r="A2393" s="56" t="s">
        <v>3131</v>
      </c>
      <c r="M2393" s="56" t="s">
        <v>3299</v>
      </c>
    </row>
    <row r="2394">
      <c r="A2394" s="56" t="s">
        <v>2919</v>
      </c>
      <c r="M2394" s="56" t="s">
        <v>3300</v>
      </c>
    </row>
    <row r="2395">
      <c r="A2395" s="56" t="s">
        <v>1431</v>
      </c>
      <c r="M2395" s="56" t="s">
        <v>3301</v>
      </c>
    </row>
    <row r="2396">
      <c r="A2396" s="56" t="s">
        <v>1431</v>
      </c>
      <c r="M2396" s="56" t="s">
        <v>3302</v>
      </c>
    </row>
    <row r="2397">
      <c r="A2397" s="56" t="s">
        <v>3303</v>
      </c>
      <c r="M2397" s="56" t="s">
        <v>3304</v>
      </c>
    </row>
    <row r="2398">
      <c r="A2398" s="56" t="s">
        <v>2934</v>
      </c>
      <c r="M2398" s="56" t="s">
        <v>3305</v>
      </c>
    </row>
    <row r="2399">
      <c r="A2399" s="56" t="s">
        <v>1431</v>
      </c>
      <c r="M2399" s="56" t="s">
        <v>3306</v>
      </c>
    </row>
    <row r="2400">
      <c r="A2400" s="56" t="s">
        <v>1741</v>
      </c>
      <c r="M2400" s="56" t="s">
        <v>3307</v>
      </c>
    </row>
    <row r="2401">
      <c r="A2401" s="56" t="s">
        <v>1431</v>
      </c>
      <c r="M2401" s="56" t="s">
        <v>3308</v>
      </c>
    </row>
    <row r="2402">
      <c r="A2402" s="56" t="s">
        <v>1431</v>
      </c>
      <c r="M2402" s="56" t="s">
        <v>3309</v>
      </c>
    </row>
    <row r="2403">
      <c r="M2403" s="56" t="s">
        <v>3310</v>
      </c>
    </row>
    <row r="2404">
      <c r="A2404" s="56" t="s">
        <v>1743</v>
      </c>
      <c r="M2404" s="56" t="s">
        <v>3311</v>
      </c>
    </row>
    <row r="2405">
      <c r="A2405" s="56" t="s">
        <v>3312</v>
      </c>
      <c r="M2405" s="56" t="s">
        <v>932</v>
      </c>
    </row>
    <row r="2406">
      <c r="A2406" s="56" t="s">
        <v>3313</v>
      </c>
      <c r="M2406" s="56" t="s">
        <v>3314</v>
      </c>
    </row>
    <row r="2407">
      <c r="A2407" s="56" t="s">
        <v>3315</v>
      </c>
      <c r="M2407" s="56" t="s">
        <v>3316</v>
      </c>
    </row>
    <row r="2408">
      <c r="M2408" s="56" t="s">
        <v>932</v>
      </c>
    </row>
    <row r="2409">
      <c r="A2409" s="56" t="s">
        <v>3317</v>
      </c>
    </row>
    <row r="2410">
      <c r="A2410" s="56" t="s">
        <v>3318</v>
      </c>
      <c r="M2410" s="56" t="s">
        <v>3319</v>
      </c>
    </row>
    <row r="2411">
      <c r="A2411" s="56" t="s">
        <v>3320</v>
      </c>
      <c r="M2411" s="56" t="s">
        <v>3321</v>
      </c>
    </row>
    <row r="2412">
      <c r="A2412" s="56" t="s">
        <v>3322</v>
      </c>
      <c r="M2412" s="56" t="s">
        <v>1929</v>
      </c>
    </row>
    <row r="2413">
      <c r="A2413" s="56" t="s">
        <v>3323</v>
      </c>
      <c r="M2413" s="56" t="s">
        <v>3324</v>
      </c>
    </row>
    <row r="2414">
      <c r="A2414" s="56" t="s">
        <v>3325</v>
      </c>
      <c r="M2414" s="56" t="s">
        <v>3326</v>
      </c>
    </row>
    <row r="2415">
      <c r="A2415" s="56" t="s">
        <v>1431</v>
      </c>
      <c r="M2415" s="56" t="s">
        <v>3118</v>
      </c>
    </row>
    <row r="2416">
      <c r="M2416" s="56" t="s">
        <v>932</v>
      </c>
    </row>
    <row r="2417">
      <c r="A2417" s="56" t="s">
        <v>1753</v>
      </c>
      <c r="M2417" s="56" t="s">
        <v>3327</v>
      </c>
    </row>
    <row r="2418">
      <c r="A2418" s="56" t="s">
        <v>3328</v>
      </c>
      <c r="M2418" s="56" t="s">
        <v>3329</v>
      </c>
    </row>
    <row r="2419">
      <c r="A2419" s="56" t="s">
        <v>1506</v>
      </c>
      <c r="M2419" s="56" t="s">
        <v>3330</v>
      </c>
    </row>
    <row r="2420">
      <c r="A2420" s="56" t="s">
        <v>3331</v>
      </c>
      <c r="M2420" s="56" t="s">
        <v>3332</v>
      </c>
    </row>
    <row r="2421">
      <c r="A2421" s="56" t="s">
        <v>3333</v>
      </c>
      <c r="M2421" s="56" t="s">
        <v>2957</v>
      </c>
    </row>
    <row r="2422">
      <c r="A2422" s="56" t="s">
        <v>3334</v>
      </c>
      <c r="M2422" s="56" t="s">
        <v>3335</v>
      </c>
    </row>
    <row r="2423">
      <c r="A2423" s="56" t="s">
        <v>3336</v>
      </c>
      <c r="M2423" s="56" t="s">
        <v>3337</v>
      </c>
    </row>
    <row r="2424">
      <c r="A2424" s="56" t="s">
        <v>3338</v>
      </c>
      <c r="M2424" s="56" t="s">
        <v>3339</v>
      </c>
    </row>
    <row r="2425">
      <c r="A2425" s="56" t="s">
        <v>3340</v>
      </c>
      <c r="M2425" s="56" t="s">
        <v>3341</v>
      </c>
    </row>
    <row r="2426">
      <c r="A2426" s="56" t="s">
        <v>3342</v>
      </c>
      <c r="M2426" s="56" t="s">
        <v>3343</v>
      </c>
    </row>
    <row r="2427">
      <c r="A2427" s="56" t="s">
        <v>1431</v>
      </c>
      <c r="M2427" s="56" t="s">
        <v>3344</v>
      </c>
    </row>
    <row r="2428">
      <c r="A2428" s="56" t="s">
        <v>3334</v>
      </c>
      <c r="M2428" s="56" t="s">
        <v>2967</v>
      </c>
    </row>
    <row r="2429">
      <c r="A2429" s="56" t="s">
        <v>3345</v>
      </c>
      <c r="M2429" s="56" t="s">
        <v>3346</v>
      </c>
    </row>
    <row r="2430">
      <c r="A2430" s="56" t="s">
        <v>3347</v>
      </c>
    </row>
    <row r="2431">
      <c r="A2431" s="56" t="s">
        <v>3348</v>
      </c>
      <c r="M2431" s="56" t="s">
        <v>3349</v>
      </c>
    </row>
    <row r="2432">
      <c r="A2432" s="56" t="s">
        <v>3350</v>
      </c>
      <c r="M2432" s="56" t="s">
        <v>3351</v>
      </c>
    </row>
    <row r="2433">
      <c r="A2433" s="56" t="s">
        <v>1431</v>
      </c>
      <c r="M2433" s="56" t="s">
        <v>3352</v>
      </c>
    </row>
    <row r="2434">
      <c r="M2434" s="56" t="s">
        <v>3353</v>
      </c>
    </row>
    <row r="2435">
      <c r="A2435" s="56" t="s">
        <v>3354</v>
      </c>
      <c r="M2435" s="56" t="s">
        <v>3355</v>
      </c>
    </row>
    <row r="2436">
      <c r="A2436" s="56" t="s">
        <v>3356</v>
      </c>
      <c r="M2436" s="56" t="s">
        <v>3357</v>
      </c>
    </row>
    <row r="2437">
      <c r="A2437" s="56" t="s">
        <v>3358</v>
      </c>
      <c r="M2437" s="56" t="s">
        <v>3359</v>
      </c>
    </row>
    <row r="2438">
      <c r="A2438" s="56" t="s">
        <v>1768</v>
      </c>
      <c r="M2438" s="56" t="s">
        <v>3360</v>
      </c>
    </row>
    <row r="2439">
      <c r="A2439" s="56" t="s">
        <v>1431</v>
      </c>
      <c r="M2439" s="56" t="s">
        <v>1431</v>
      </c>
    </row>
    <row r="2440">
      <c r="A2440" s="56" t="s">
        <v>3361</v>
      </c>
      <c r="M2440" s="56" t="s">
        <v>3362</v>
      </c>
    </row>
    <row r="2441">
      <c r="A2441" s="56" t="s">
        <v>1431</v>
      </c>
      <c r="M2441" s="56" t="s">
        <v>2080</v>
      </c>
    </row>
    <row r="2442">
      <c r="M2442" s="56" t="s">
        <v>932</v>
      </c>
    </row>
    <row r="2443">
      <c r="A2443" s="56" t="s">
        <v>3363</v>
      </c>
      <c r="M2443" s="56" t="s">
        <v>3364</v>
      </c>
    </row>
    <row r="2444">
      <c r="A2444" s="56" t="s">
        <v>3365</v>
      </c>
    </row>
    <row r="2445">
      <c r="A2445" s="56" t="s">
        <v>3016</v>
      </c>
      <c r="M2445" s="56" t="s">
        <v>3366</v>
      </c>
    </row>
    <row r="2446">
      <c r="A2446" s="56" t="s">
        <v>3367</v>
      </c>
      <c r="M2446" s="56" t="s">
        <v>3368</v>
      </c>
    </row>
    <row r="2447">
      <c r="A2447" s="56" t="s">
        <v>3369</v>
      </c>
      <c r="M2447" s="56" t="s">
        <v>3370</v>
      </c>
    </row>
    <row r="2448">
      <c r="A2448" s="56" t="s">
        <v>3371</v>
      </c>
      <c r="M2448" s="56" t="s">
        <v>3372</v>
      </c>
    </row>
    <row r="2449">
      <c r="A2449" s="56" t="s">
        <v>2919</v>
      </c>
      <c r="M2449" s="56" t="s">
        <v>3373</v>
      </c>
    </row>
    <row r="2450">
      <c r="A2450" s="56" t="s">
        <v>1431</v>
      </c>
      <c r="M2450" s="56" t="s">
        <v>3374</v>
      </c>
    </row>
    <row r="2451">
      <c r="A2451" s="56" t="s">
        <v>1431</v>
      </c>
      <c r="M2451" s="56" t="s">
        <v>3375</v>
      </c>
    </row>
    <row r="2452">
      <c r="A2452" s="56" t="s">
        <v>1431</v>
      </c>
      <c r="M2452" s="56" t="s">
        <v>3376</v>
      </c>
    </row>
    <row r="2453">
      <c r="A2453" s="56" t="s">
        <v>1431</v>
      </c>
      <c r="M2453" s="56" t="s">
        <v>3377</v>
      </c>
    </row>
    <row r="2454">
      <c r="A2454" s="56" t="s">
        <v>1431</v>
      </c>
      <c r="M2454" s="56" t="s">
        <v>3378</v>
      </c>
    </row>
    <row r="2455">
      <c r="M2455" s="56" t="s">
        <v>3379</v>
      </c>
    </row>
    <row r="2456">
      <c r="A2456" s="56" t="s">
        <v>1779</v>
      </c>
      <c r="M2456" s="56" t="s">
        <v>3380</v>
      </c>
    </row>
    <row r="2457">
      <c r="A2457" s="56" t="s">
        <v>3381</v>
      </c>
      <c r="M2457" s="56" t="s">
        <v>3382</v>
      </c>
    </row>
    <row r="2458">
      <c r="A2458" s="56" t="s">
        <v>1506</v>
      </c>
    </row>
    <row r="2459">
      <c r="A2459" s="56" t="s">
        <v>1531</v>
      </c>
      <c r="M2459" s="56" t="s">
        <v>3383</v>
      </c>
    </row>
    <row r="2460">
      <c r="A2460" s="56" t="s">
        <v>3384</v>
      </c>
      <c r="M2460" s="56" t="s">
        <v>3385</v>
      </c>
    </row>
    <row r="2461">
      <c r="A2461" s="56" t="s">
        <v>3386</v>
      </c>
      <c r="M2461" s="56" t="s">
        <v>3387</v>
      </c>
    </row>
    <row r="2462">
      <c r="A2462" s="56" t="s">
        <v>2941</v>
      </c>
      <c r="M2462" s="56" t="s">
        <v>3388</v>
      </c>
    </row>
    <row r="2463">
      <c r="A2463" s="56" t="s">
        <v>2919</v>
      </c>
      <c r="M2463" s="56" t="s">
        <v>3389</v>
      </c>
    </row>
    <row r="2464">
      <c r="A2464" s="56" t="s">
        <v>1431</v>
      </c>
      <c r="M2464" s="56" t="s">
        <v>3390</v>
      </c>
    </row>
    <row r="2465">
      <c r="A2465" s="56" t="s">
        <v>3391</v>
      </c>
      <c r="M2465" s="56" t="s">
        <v>3392</v>
      </c>
    </row>
    <row r="2466">
      <c r="A2466" s="56" t="s">
        <v>1431</v>
      </c>
      <c r="M2466" s="56" t="s">
        <v>3393</v>
      </c>
    </row>
    <row r="2467">
      <c r="A2467" s="56" t="s">
        <v>1431</v>
      </c>
      <c r="M2467" s="56" t="s">
        <v>3394</v>
      </c>
    </row>
    <row r="2468">
      <c r="M2468" s="56" t="s">
        <v>3395</v>
      </c>
    </row>
    <row r="2469">
      <c r="A2469" s="56" t="s">
        <v>1787</v>
      </c>
      <c r="M2469" s="56" t="s">
        <v>2915</v>
      </c>
    </row>
    <row r="2470">
      <c r="A2470" s="56" t="s">
        <v>3396</v>
      </c>
      <c r="M2470" s="56" t="s">
        <v>3397</v>
      </c>
    </row>
    <row r="2471">
      <c r="A2471" s="56" t="s">
        <v>1506</v>
      </c>
      <c r="M2471" s="56" t="s">
        <v>3398</v>
      </c>
    </row>
    <row r="2472">
      <c r="A2472" s="56" t="s">
        <v>1531</v>
      </c>
      <c r="M2472" s="56" t="s">
        <v>1431</v>
      </c>
    </row>
    <row r="2473">
      <c r="A2473" s="56" t="s">
        <v>1790</v>
      </c>
      <c r="M2473" s="56" t="s">
        <v>3399</v>
      </c>
    </row>
    <row r="2474">
      <c r="A2474" s="56" t="s">
        <v>3400</v>
      </c>
      <c r="M2474" s="56" t="s">
        <v>1431</v>
      </c>
    </row>
    <row r="2475">
      <c r="A2475" s="56" t="s">
        <v>3401</v>
      </c>
      <c r="M2475" s="56" t="s">
        <v>3402</v>
      </c>
    </row>
    <row r="2476">
      <c r="A2476" s="56" t="s">
        <v>1793</v>
      </c>
      <c r="M2476" s="56" t="s">
        <v>2217</v>
      </c>
    </row>
    <row r="2477">
      <c r="A2477" s="56" t="s">
        <v>1794</v>
      </c>
      <c r="M2477" s="56" t="s">
        <v>932</v>
      </c>
    </row>
    <row r="2478">
      <c r="A2478" s="56" t="s">
        <v>1795</v>
      </c>
      <c r="M2478" s="56" t="s">
        <v>3403</v>
      </c>
    </row>
    <row r="2479">
      <c r="A2479" s="56" t="s">
        <v>1797</v>
      </c>
      <c r="M2479" s="56" t="s">
        <v>932</v>
      </c>
    </row>
    <row r="2480">
      <c r="A2480" s="56" t="s">
        <v>1628</v>
      </c>
      <c r="M2480" s="56" t="s">
        <v>3404</v>
      </c>
    </row>
    <row r="2481">
      <c r="A2481" s="56" t="s">
        <v>3405</v>
      </c>
      <c r="M2481" s="56" t="s">
        <v>932</v>
      </c>
    </row>
    <row r="2482">
      <c r="A2482" s="56" t="s">
        <v>3131</v>
      </c>
    </row>
    <row r="2483">
      <c r="A2483" s="56" t="s">
        <v>2919</v>
      </c>
      <c r="M2483" s="56" t="s">
        <v>1829</v>
      </c>
    </row>
    <row r="2484">
      <c r="A2484" s="56" t="s">
        <v>1431</v>
      </c>
      <c r="M2484" s="56" t="s">
        <v>3406</v>
      </c>
    </row>
    <row r="2485">
      <c r="A2485" s="56" t="s">
        <v>1431</v>
      </c>
      <c r="M2485" s="56" t="s">
        <v>1829</v>
      </c>
    </row>
    <row r="2486">
      <c r="A2486" s="56" t="s">
        <v>3407</v>
      </c>
      <c r="M2486" s="56" t="s">
        <v>3408</v>
      </c>
    </row>
    <row r="2487">
      <c r="A2487" s="56" t="s">
        <v>1431</v>
      </c>
      <c r="M2487" s="56" t="s">
        <v>3409</v>
      </c>
    </row>
    <row r="2488">
      <c r="A2488" s="56" t="s">
        <v>1431</v>
      </c>
      <c r="M2488" s="56" t="s">
        <v>3410</v>
      </c>
    </row>
    <row r="2489">
      <c r="M2489" s="56" t="s">
        <v>3411</v>
      </c>
    </row>
    <row r="2490">
      <c r="A2490" s="56" t="s">
        <v>1800</v>
      </c>
      <c r="M2490" s="56" t="s">
        <v>932</v>
      </c>
    </row>
    <row r="2491">
      <c r="A2491" s="56" t="s">
        <v>3412</v>
      </c>
      <c r="M2491" s="56" t="s">
        <v>3413</v>
      </c>
    </row>
    <row r="2492">
      <c r="A2492" s="56" t="s">
        <v>1506</v>
      </c>
      <c r="M2492" s="56" t="s">
        <v>3414</v>
      </c>
    </row>
    <row r="2493">
      <c r="A2493" s="56" t="s">
        <v>3415</v>
      </c>
      <c r="M2493" s="56" t="s">
        <v>3416</v>
      </c>
    </row>
    <row r="2494">
      <c r="A2494" s="56" t="s">
        <v>3417</v>
      </c>
    </row>
    <row r="2495">
      <c r="A2495" s="56" t="s">
        <v>1431</v>
      </c>
      <c r="M2495" s="56" t="s">
        <v>3418</v>
      </c>
    </row>
    <row r="2496">
      <c r="A2496" s="56" t="s">
        <v>1431</v>
      </c>
      <c r="M2496" s="56" t="s">
        <v>3419</v>
      </c>
    </row>
    <row r="2497">
      <c r="M2497" s="56" t="s">
        <v>3420</v>
      </c>
    </row>
    <row r="2498">
      <c r="A2498" s="56" t="s">
        <v>1805</v>
      </c>
      <c r="M2498" s="56" t="s">
        <v>3421</v>
      </c>
    </row>
    <row r="2499">
      <c r="A2499" s="56" t="s">
        <v>3422</v>
      </c>
      <c r="M2499" s="56" t="s">
        <v>3423</v>
      </c>
    </row>
    <row r="2500">
      <c r="A2500" s="56" t="s">
        <v>3424</v>
      </c>
    </row>
    <row r="2501">
      <c r="A2501" s="56" t="s">
        <v>3079</v>
      </c>
      <c r="M2501" s="56" t="s">
        <v>3425</v>
      </c>
    </row>
    <row r="2502">
      <c r="A2502" s="56" t="s">
        <v>3426</v>
      </c>
      <c r="M2502" s="56" t="s">
        <v>3427</v>
      </c>
    </row>
    <row r="2503">
      <c r="A2503" s="56" t="s">
        <v>3428</v>
      </c>
      <c r="M2503" s="56" t="s">
        <v>3429</v>
      </c>
    </row>
    <row r="2504">
      <c r="A2504" s="56" t="s">
        <v>1431</v>
      </c>
    </row>
    <row r="2505">
      <c r="A2505" s="56" t="s">
        <v>3430</v>
      </c>
      <c r="M2505" s="56" t="s">
        <v>3431</v>
      </c>
    </row>
    <row r="2506">
      <c r="A2506" s="56" t="s">
        <v>3432</v>
      </c>
      <c r="M2506" s="56" t="s">
        <v>3433</v>
      </c>
    </row>
    <row r="2507">
      <c r="A2507" s="56" t="s">
        <v>3434</v>
      </c>
      <c r="M2507" s="56" t="s">
        <v>3435</v>
      </c>
    </row>
    <row r="2508">
      <c r="A2508" s="56" t="s">
        <v>3016</v>
      </c>
      <c r="M2508" s="56" t="s">
        <v>3436</v>
      </c>
    </row>
    <row r="2509">
      <c r="A2509" s="56" t="s">
        <v>3437</v>
      </c>
      <c r="M2509" s="56" t="s">
        <v>3438</v>
      </c>
    </row>
    <row r="2510">
      <c r="A2510" s="56" t="s">
        <v>3439</v>
      </c>
      <c r="M2510" s="56" t="s">
        <v>1431</v>
      </c>
    </row>
    <row r="2511">
      <c r="A2511" s="56" t="s">
        <v>3440</v>
      </c>
      <c r="M2511" s="56" t="s">
        <v>3441</v>
      </c>
    </row>
    <row r="2512">
      <c r="A2512" s="56" t="s">
        <v>2919</v>
      </c>
      <c r="M2512" s="56" t="s">
        <v>3442</v>
      </c>
    </row>
    <row r="2513">
      <c r="A2513" s="56" t="s">
        <v>1431</v>
      </c>
    </row>
    <row r="2514">
      <c r="A2514" s="56" t="s">
        <v>1431</v>
      </c>
      <c r="M2514" s="56" t="s">
        <v>3443</v>
      </c>
    </row>
    <row r="2515">
      <c r="A2515" s="56" t="s">
        <v>1431</v>
      </c>
      <c r="M2515" s="56" t="s">
        <v>3444</v>
      </c>
    </row>
    <row r="2516">
      <c r="A2516" s="56" t="s">
        <v>1431</v>
      </c>
      <c r="M2516" s="56" t="s">
        <v>3445</v>
      </c>
    </row>
    <row r="2517">
      <c r="A2517" s="56" t="s">
        <v>1431</v>
      </c>
      <c r="M2517" s="56" t="s">
        <v>3446</v>
      </c>
    </row>
    <row r="2518">
      <c r="M2518" s="56" t="s">
        <v>3447</v>
      </c>
    </row>
    <row r="2519">
      <c r="A2519" s="56" t="s">
        <v>1823</v>
      </c>
      <c r="M2519" s="56" t="s">
        <v>3448</v>
      </c>
    </row>
    <row r="2520">
      <c r="A2520" s="56" t="s">
        <v>1824</v>
      </c>
    </row>
    <row r="2521">
      <c r="A2521" s="56" t="s">
        <v>1825</v>
      </c>
      <c r="M2521" s="56" t="s">
        <v>3449</v>
      </c>
    </row>
    <row r="2522">
      <c r="A2522" s="56" t="s">
        <v>1826</v>
      </c>
      <c r="M2522" s="56" t="s">
        <v>3450</v>
      </c>
    </row>
    <row r="2523">
      <c r="M2523" s="56" t="s">
        <v>3451</v>
      </c>
    </row>
    <row r="2524">
      <c r="A2524" s="56" t="s">
        <v>1827</v>
      </c>
      <c r="M2524" s="56" t="s">
        <v>3452</v>
      </c>
    </row>
    <row r="2525">
      <c r="A2525" s="56" t="s">
        <v>1829</v>
      </c>
      <c r="M2525" s="56" t="s">
        <v>3453</v>
      </c>
    </row>
    <row r="2526">
      <c r="A2526" s="56" t="s">
        <v>1830</v>
      </c>
      <c r="M2526" s="56" t="s">
        <v>3454</v>
      </c>
    </row>
    <row r="2527">
      <c r="A2527" s="56" t="s">
        <v>1829</v>
      </c>
      <c r="M2527" s="56" t="s">
        <v>3455</v>
      </c>
    </row>
    <row r="2528">
      <c r="A2528" s="56" t="s">
        <v>1831</v>
      </c>
      <c r="M2528" s="56" t="s">
        <v>3456</v>
      </c>
    </row>
    <row r="2529">
      <c r="A2529" s="56" t="s">
        <v>1833</v>
      </c>
      <c r="M2529" s="56" t="s">
        <v>3457</v>
      </c>
    </row>
    <row r="2530">
      <c r="A2530" s="56" t="s">
        <v>1835</v>
      </c>
      <c r="M2530" s="56" t="s">
        <v>1870</v>
      </c>
    </row>
    <row r="2531">
      <c r="A2531" s="56" t="s">
        <v>1837</v>
      </c>
      <c r="M2531" s="56" t="s">
        <v>3458</v>
      </c>
    </row>
    <row r="2532">
      <c r="A2532" s="56" t="s">
        <v>1838</v>
      </c>
      <c r="M2532" s="56" t="s">
        <v>3459</v>
      </c>
    </row>
    <row r="2533">
      <c r="A2533" s="56" t="s">
        <v>1839</v>
      </c>
      <c r="M2533" s="56" t="s">
        <v>3460</v>
      </c>
    </row>
    <row r="2534">
      <c r="A2534" s="56" t="s">
        <v>1841</v>
      </c>
      <c r="M2534" s="56" t="s">
        <v>3461</v>
      </c>
    </row>
    <row r="2535">
      <c r="M2535" s="56" t="s">
        <v>1431</v>
      </c>
    </row>
    <row r="2536">
      <c r="A2536" s="56" t="s">
        <v>1842</v>
      </c>
      <c r="M2536" s="56" t="s">
        <v>3459</v>
      </c>
    </row>
    <row r="2537">
      <c r="A2537" s="64" t="s">
        <v>1843</v>
      </c>
      <c r="M2537" s="56" t="s">
        <v>3462</v>
      </c>
    </row>
    <row r="2538">
      <c r="A2538" s="64" t="s">
        <v>1845</v>
      </c>
      <c r="M2538" s="56" t="s">
        <v>3463</v>
      </c>
    </row>
    <row r="2539">
      <c r="A2539" s="64" t="s">
        <v>1847</v>
      </c>
      <c r="M2539" s="56" t="s">
        <v>1431</v>
      </c>
    </row>
    <row r="2540">
      <c r="A2540" s="64" t="s">
        <v>1848</v>
      </c>
      <c r="M2540" s="56" t="s">
        <v>3464</v>
      </c>
    </row>
    <row r="2541">
      <c r="A2541" s="64" t="s">
        <v>1849</v>
      </c>
      <c r="M2541" s="56" t="s">
        <v>3465</v>
      </c>
    </row>
    <row r="2542">
      <c r="A2542" s="64" t="s">
        <v>1851</v>
      </c>
      <c r="M2542" s="56" t="s">
        <v>3466</v>
      </c>
    </row>
    <row r="2543">
      <c r="A2543" s="64" t="s">
        <v>3467</v>
      </c>
      <c r="M2543" s="56" t="s">
        <v>1431</v>
      </c>
    </row>
    <row r="2544">
      <c r="A2544" s="64" t="s">
        <v>3468</v>
      </c>
      <c r="M2544" s="56" t="s">
        <v>1431</v>
      </c>
    </row>
    <row r="2545">
      <c r="A2545" s="56" t="s">
        <v>1854</v>
      </c>
      <c r="M2545" s="56" t="s">
        <v>2080</v>
      </c>
    </row>
    <row r="2546">
      <c r="M2546" s="56" t="s">
        <v>932</v>
      </c>
    </row>
    <row r="2547">
      <c r="A2547" s="56" t="s">
        <v>1829</v>
      </c>
      <c r="M2547" s="56" t="s">
        <v>3469</v>
      </c>
    </row>
    <row r="2548">
      <c r="A2548" s="56" t="s">
        <v>1855</v>
      </c>
      <c r="M2548" s="56" t="s">
        <v>3470</v>
      </c>
    </row>
    <row r="2549">
      <c r="A2549" s="56" t="s">
        <v>1829</v>
      </c>
      <c r="M2549" s="56" t="s">
        <v>3471</v>
      </c>
    </row>
    <row r="2550">
      <c r="A2550" s="56" t="s">
        <v>1857</v>
      </c>
      <c r="M2550" s="56" t="s">
        <v>3472</v>
      </c>
    </row>
    <row r="2551">
      <c r="A2551" s="56" t="s">
        <v>1859</v>
      </c>
      <c r="M2551" s="56" t="s">
        <v>3473</v>
      </c>
    </row>
    <row r="2552">
      <c r="A2552" s="56" t="s">
        <v>1860</v>
      </c>
      <c r="M2552" s="56" t="s">
        <v>3474</v>
      </c>
    </row>
    <row r="2553">
      <c r="A2553" s="56" t="s">
        <v>1861</v>
      </c>
      <c r="M2553" s="56" t="s">
        <v>3475</v>
      </c>
    </row>
    <row r="2554">
      <c r="A2554" s="56" t="s">
        <v>3476</v>
      </c>
    </row>
    <row r="2555">
      <c r="A2555" s="56" t="s">
        <v>1875</v>
      </c>
      <c r="M2555" s="56" t="s">
        <v>3477</v>
      </c>
    </row>
    <row r="2556">
      <c r="A2556" s="56" t="s">
        <v>3478</v>
      </c>
      <c r="M2556" s="56" t="s">
        <v>3479</v>
      </c>
    </row>
    <row r="2557">
      <c r="A2557" s="56" t="s">
        <v>1878</v>
      </c>
      <c r="M2557" s="56" t="s">
        <v>3480</v>
      </c>
    </row>
    <row r="2558">
      <c r="A2558" s="56" t="s">
        <v>932</v>
      </c>
      <c r="M2558" s="56" t="s">
        <v>3481</v>
      </c>
    </row>
    <row r="2559">
      <c r="M2559" s="56" t="s">
        <v>3482</v>
      </c>
    </row>
    <row r="2560">
      <c r="A2560" s="56" t="s">
        <v>1829</v>
      </c>
      <c r="M2560" s="56" t="s">
        <v>3483</v>
      </c>
    </row>
    <row r="2561">
      <c r="A2561" s="56" t="s">
        <v>1879</v>
      </c>
      <c r="M2561" s="56" t="s">
        <v>3484</v>
      </c>
    </row>
    <row r="2562">
      <c r="A2562" s="56" t="s">
        <v>1829</v>
      </c>
      <c r="M2562" s="56" t="s">
        <v>3485</v>
      </c>
    </row>
    <row r="2563">
      <c r="A2563" s="56" t="s">
        <v>1881</v>
      </c>
      <c r="M2563" s="56" t="s">
        <v>3486</v>
      </c>
    </row>
    <row r="2564">
      <c r="A2564" s="56" t="s">
        <v>1882</v>
      </c>
      <c r="M2564" s="56" t="s">
        <v>3487</v>
      </c>
    </row>
    <row r="2565">
      <c r="A2565" s="56" t="s">
        <v>1883</v>
      </c>
      <c r="M2565" s="56" t="s">
        <v>932</v>
      </c>
    </row>
    <row r="2566">
      <c r="A2566" s="56" t="s">
        <v>932</v>
      </c>
      <c r="M2566" s="56" t="s">
        <v>3488</v>
      </c>
    </row>
    <row r="2567">
      <c r="M2567" s="56" t="s">
        <v>3489</v>
      </c>
    </row>
    <row r="2568">
      <c r="A2568" s="56" t="s">
        <v>3490</v>
      </c>
      <c r="M2568" s="56" t="s">
        <v>3491</v>
      </c>
    </row>
    <row r="2569">
      <c r="A2569" s="56" t="s">
        <v>1885</v>
      </c>
      <c r="M2569" s="56" t="s">
        <v>3492</v>
      </c>
    </row>
    <row r="2570">
      <c r="A2570" s="56" t="s">
        <v>1887</v>
      </c>
      <c r="M2570" s="56" t="s">
        <v>3493</v>
      </c>
    </row>
    <row r="2571">
      <c r="A2571" s="56" t="s">
        <v>1888</v>
      </c>
      <c r="M2571" s="56" t="s">
        <v>3494</v>
      </c>
    </row>
    <row r="2572">
      <c r="A2572" s="56" t="s">
        <v>1889</v>
      </c>
      <c r="M2572" s="56" t="s">
        <v>3495</v>
      </c>
    </row>
    <row r="2573">
      <c r="A2573" s="56" t="s">
        <v>1891</v>
      </c>
      <c r="M2573" s="56" t="s">
        <v>3496</v>
      </c>
    </row>
    <row r="2574">
      <c r="A2574" s="56" t="s">
        <v>1892</v>
      </c>
      <c r="M2574" s="56" t="s">
        <v>3497</v>
      </c>
    </row>
    <row r="2575">
      <c r="A2575" s="56" t="s">
        <v>1893</v>
      </c>
      <c r="M2575" s="56" t="s">
        <v>3498</v>
      </c>
    </row>
    <row r="2576">
      <c r="A2576" s="56" t="s">
        <v>1894</v>
      </c>
      <c r="M2576" s="56" t="s">
        <v>2605</v>
      </c>
    </row>
    <row r="2577">
      <c r="A2577" s="56" t="s">
        <v>1895</v>
      </c>
      <c r="M2577" s="56" t="s">
        <v>932</v>
      </c>
    </row>
    <row r="2578">
      <c r="A2578" s="56" t="s">
        <v>1897</v>
      </c>
      <c r="M2578" s="56" t="s">
        <v>3499</v>
      </c>
    </row>
    <row r="2579">
      <c r="A2579" s="56" t="s">
        <v>1898</v>
      </c>
      <c r="M2579" s="56" t="s">
        <v>3500</v>
      </c>
    </row>
    <row r="2580">
      <c r="A2580" s="56" t="s">
        <v>1899</v>
      </c>
    </row>
    <row r="2581">
      <c r="A2581" s="56" t="s">
        <v>1900</v>
      </c>
      <c r="M2581" s="56" t="s">
        <v>3501</v>
      </c>
    </row>
    <row r="2582">
      <c r="A2582" s="56" t="s">
        <v>1902</v>
      </c>
      <c r="M2582" s="56"/>
    </row>
    <row r="2583">
      <c r="A2583" s="56" t="s">
        <v>1903</v>
      </c>
      <c r="M2583" s="56"/>
    </row>
    <row r="2584">
      <c r="A2584" s="56" t="s">
        <v>1905</v>
      </c>
      <c r="M2584" s="56"/>
    </row>
    <row r="2585">
      <c r="A2585" s="56" t="s">
        <v>1854</v>
      </c>
      <c r="M2585" s="56"/>
    </row>
    <row r="2586">
      <c r="A2586" s="56" t="s">
        <v>1906</v>
      </c>
      <c r="M2586" s="56"/>
    </row>
    <row r="2587">
      <c r="A2587" s="56" t="s">
        <v>1907</v>
      </c>
      <c r="M2587" s="56"/>
    </row>
    <row r="2588">
      <c r="A2588" s="56" t="s">
        <v>1854</v>
      </c>
      <c r="M2588" s="56"/>
    </row>
    <row r="2589">
      <c r="A2589" s="56" t="s">
        <v>1908</v>
      </c>
      <c r="M2589" s="56"/>
    </row>
    <row r="2590">
      <c r="A2590" s="56" t="s">
        <v>1909</v>
      </c>
      <c r="M2590" s="56"/>
    </row>
    <row r="2591">
      <c r="A2591" s="56" t="s">
        <v>1910</v>
      </c>
      <c r="M2591" s="56"/>
    </row>
    <row r="2592">
      <c r="A2592" s="56" t="s">
        <v>932</v>
      </c>
      <c r="M2592" s="56"/>
    </row>
    <row r="2593">
      <c r="M2593" s="56"/>
    </row>
    <row r="2594">
      <c r="A2594" s="56" t="s">
        <v>3502</v>
      </c>
      <c r="M2594" s="56"/>
    </row>
    <row r="2595">
      <c r="A2595" s="56" t="s">
        <v>1912</v>
      </c>
      <c r="M2595" s="56"/>
    </row>
    <row r="2596">
      <c r="A2596" s="56" t="s">
        <v>1913</v>
      </c>
      <c r="M2596" s="56"/>
    </row>
    <row r="2597">
      <c r="A2597" s="56" t="s">
        <v>1915</v>
      </c>
      <c r="M2597" s="56"/>
    </row>
    <row r="2598">
      <c r="A2598" s="56" t="s">
        <v>1917</v>
      </c>
      <c r="M2598" s="56"/>
    </row>
    <row r="2599">
      <c r="A2599" s="56" t="s">
        <v>1918</v>
      </c>
      <c r="M2599" s="56"/>
    </row>
    <row r="2600">
      <c r="A2600" s="56" t="s">
        <v>1919</v>
      </c>
      <c r="M2600" s="56"/>
    </row>
    <row r="2601">
      <c r="A2601" s="56" t="s">
        <v>1921</v>
      </c>
      <c r="M2601" s="56"/>
    </row>
    <row r="2602">
      <c r="A2602" s="56" t="s">
        <v>1922</v>
      </c>
      <c r="M2602" s="56"/>
    </row>
    <row r="2603">
      <c r="A2603" s="56" t="s">
        <v>1924</v>
      </c>
      <c r="M2603" s="56"/>
    </row>
    <row r="2604">
      <c r="A2604" s="56" t="s">
        <v>1926</v>
      </c>
      <c r="M2604" s="56"/>
    </row>
    <row r="2605">
      <c r="A2605" s="56" t="s">
        <v>1928</v>
      </c>
      <c r="M2605" s="56"/>
    </row>
    <row r="2606">
      <c r="A2606" s="56" t="s">
        <v>1929</v>
      </c>
      <c r="M2606" s="56"/>
    </row>
    <row r="2607">
      <c r="A2607" s="56" t="s">
        <v>1930</v>
      </c>
      <c r="M2607" s="56"/>
    </row>
    <row r="2608">
      <c r="A2608" s="56" t="s">
        <v>1931</v>
      </c>
      <c r="M2608" s="56"/>
    </row>
    <row r="2609">
      <c r="A2609" s="56" t="s">
        <v>3503</v>
      </c>
      <c r="M2609" s="56"/>
    </row>
    <row r="2610">
      <c r="A2610" s="56" t="s">
        <v>1934</v>
      </c>
      <c r="M2610" s="56"/>
    </row>
    <row r="2611">
      <c r="A2611" s="56" t="s">
        <v>1935</v>
      </c>
      <c r="M2611" s="56"/>
    </row>
    <row r="2612">
      <c r="A2612" s="56" t="s">
        <v>1937</v>
      </c>
      <c r="M2612" s="56"/>
    </row>
    <row r="2613">
      <c r="A2613" s="56" t="s">
        <v>1939</v>
      </c>
      <c r="M2613" s="56"/>
    </row>
    <row r="2614">
      <c r="A2614" s="56" t="s">
        <v>932</v>
      </c>
      <c r="M2614" s="56"/>
    </row>
    <row r="2615">
      <c r="A2615" s="56" t="s">
        <v>1940</v>
      </c>
      <c r="M2615" s="56"/>
    </row>
    <row r="2616">
      <c r="A2616" s="56" t="s">
        <v>1942</v>
      </c>
      <c r="M2616" s="56"/>
    </row>
    <row r="2617">
      <c r="A2617" s="56" t="s">
        <v>1943</v>
      </c>
      <c r="M2617" s="56"/>
    </row>
    <row r="2618">
      <c r="A2618" s="56" t="s">
        <v>1910</v>
      </c>
      <c r="M2618" s="56"/>
    </row>
    <row r="2619">
      <c r="A2619" s="56" t="s">
        <v>1944</v>
      </c>
      <c r="M2619" s="56"/>
    </row>
    <row r="2620">
      <c r="A2620" s="56" t="s">
        <v>1945</v>
      </c>
      <c r="M2620" s="56"/>
    </row>
    <row r="2621">
      <c r="A2621" s="56" t="s">
        <v>932</v>
      </c>
      <c r="M2621" s="56"/>
    </row>
    <row r="2622">
      <c r="A2622" s="56" t="s">
        <v>1946</v>
      </c>
      <c r="M2622" s="56"/>
    </row>
    <row r="2623">
      <c r="A2623" s="56" t="s">
        <v>1947</v>
      </c>
      <c r="M2623" s="56"/>
    </row>
    <row r="2624">
      <c r="A2624" s="56" t="s">
        <v>1948</v>
      </c>
      <c r="M2624" s="56"/>
    </row>
    <row r="2625">
      <c r="A2625" s="56" t="s">
        <v>1949</v>
      </c>
      <c r="M2625" s="56"/>
    </row>
    <row r="2626">
      <c r="A2626" s="56" t="s">
        <v>1950</v>
      </c>
      <c r="M2626" s="56"/>
    </row>
    <row r="2627">
      <c r="A2627" s="56" t="s">
        <v>1952</v>
      </c>
      <c r="M2627" s="56"/>
    </row>
    <row r="2628">
      <c r="A2628" s="56" t="s">
        <v>1953</v>
      </c>
      <c r="M2628" s="56"/>
    </row>
    <row r="2629">
      <c r="A2629" s="56" t="s">
        <v>1910</v>
      </c>
      <c r="M2629" s="56"/>
    </row>
    <row r="2630">
      <c r="A2630" s="56" t="s">
        <v>1954</v>
      </c>
      <c r="M2630" s="56"/>
    </row>
    <row r="2631">
      <c r="A2631" s="56" t="s">
        <v>1955</v>
      </c>
      <c r="M2631" s="56"/>
    </row>
    <row r="2632">
      <c r="A2632" s="56" t="s">
        <v>1910</v>
      </c>
      <c r="M2632" s="56"/>
    </row>
    <row r="2633">
      <c r="A2633" s="56" t="s">
        <v>1854</v>
      </c>
      <c r="M2633" s="56"/>
    </row>
    <row r="2634">
      <c r="A2634" s="56" t="s">
        <v>1957</v>
      </c>
      <c r="M2634" s="56"/>
    </row>
    <row r="2635">
      <c r="A2635" s="56" t="s">
        <v>932</v>
      </c>
      <c r="M2635" s="56"/>
    </row>
    <row r="2636">
      <c r="M2636" s="56"/>
    </row>
    <row r="2637">
      <c r="A2637" s="56" t="s">
        <v>1959</v>
      </c>
      <c r="M2637" s="56"/>
    </row>
    <row r="2638">
      <c r="A2638" s="56" t="s">
        <v>1960</v>
      </c>
      <c r="M2638" s="56"/>
    </row>
    <row r="2639">
      <c r="A2639" s="56" t="s">
        <v>1929</v>
      </c>
      <c r="M2639" s="56"/>
    </row>
    <row r="2640">
      <c r="A2640" s="56" t="s">
        <v>1930</v>
      </c>
      <c r="M2640" s="56"/>
    </row>
    <row r="2641">
      <c r="A2641" s="56" t="s">
        <v>1931</v>
      </c>
      <c r="M2641" s="56"/>
    </row>
    <row r="2642">
      <c r="A2642" s="56" t="s">
        <v>1962</v>
      </c>
      <c r="M2642" s="56"/>
    </row>
    <row r="2643">
      <c r="A2643" s="56" t="s">
        <v>1963</v>
      </c>
      <c r="M2643" s="56"/>
    </row>
    <row r="2644">
      <c r="A2644" s="56" t="s">
        <v>1944</v>
      </c>
      <c r="M2644" s="56"/>
    </row>
    <row r="2645">
      <c r="A2645" s="56" t="s">
        <v>1964</v>
      </c>
      <c r="M2645" s="56"/>
    </row>
    <row r="2646">
      <c r="A2646" s="56" t="s">
        <v>932</v>
      </c>
      <c r="M2646" s="56"/>
    </row>
    <row r="2647">
      <c r="A2647" s="56" t="s">
        <v>1946</v>
      </c>
      <c r="M2647" s="56"/>
    </row>
    <row r="2648">
      <c r="A2648" s="56" t="s">
        <v>1947</v>
      </c>
      <c r="M2648" s="56"/>
    </row>
    <row r="2649">
      <c r="A2649" s="56" t="s">
        <v>1965</v>
      </c>
      <c r="M2649" s="56"/>
    </row>
    <row r="2650">
      <c r="A2650" s="56" t="s">
        <v>932</v>
      </c>
      <c r="M2650" s="56"/>
    </row>
    <row r="2651">
      <c r="M2651" s="56"/>
    </row>
    <row r="2652">
      <c r="A2652" s="56" t="s">
        <v>1829</v>
      </c>
      <c r="M2652" s="56"/>
    </row>
    <row r="2653">
      <c r="A2653" s="56" t="s">
        <v>1967</v>
      </c>
      <c r="M2653" s="56"/>
    </row>
    <row r="2654">
      <c r="A2654" s="56" t="s">
        <v>1829</v>
      </c>
      <c r="M2654" s="56"/>
    </row>
    <row r="2655">
      <c r="A2655" s="56" t="s">
        <v>3504</v>
      </c>
      <c r="M2655" s="56"/>
    </row>
    <row r="2656">
      <c r="A2656" s="56" t="s">
        <v>3505</v>
      </c>
      <c r="M2656" s="56"/>
    </row>
    <row r="2657">
      <c r="M2657" s="56"/>
    </row>
    <row r="2658">
      <c r="A2658" s="56" t="s">
        <v>1969</v>
      </c>
      <c r="M2658" s="56"/>
    </row>
    <row r="2659">
      <c r="A2659" s="56" t="s">
        <v>1970</v>
      </c>
      <c r="M2659" s="56"/>
    </row>
    <row r="2660">
      <c r="A2660" s="56" t="s">
        <v>3506</v>
      </c>
      <c r="M2660" s="56"/>
    </row>
    <row r="2661">
      <c r="A2661" s="56" t="s">
        <v>1979</v>
      </c>
      <c r="M2661" s="56"/>
    </row>
    <row r="2662">
      <c r="A2662" s="56" t="s">
        <v>1981</v>
      </c>
      <c r="M2662" s="56"/>
    </row>
    <row r="2663">
      <c r="A2663" s="56" t="s">
        <v>1982</v>
      </c>
      <c r="M2663" s="56"/>
    </row>
    <row r="2664">
      <c r="A2664" s="56" t="s">
        <v>1983</v>
      </c>
      <c r="M2664" s="56"/>
    </row>
    <row r="2665">
      <c r="A2665" s="56" t="s">
        <v>1984</v>
      </c>
      <c r="M2665" s="56"/>
    </row>
    <row r="2666">
      <c r="A2666" s="56" t="s">
        <v>1985</v>
      </c>
      <c r="M2666" s="56"/>
    </row>
    <row r="2667">
      <c r="A2667" s="56" t="s">
        <v>1986</v>
      </c>
      <c r="M2667" s="56"/>
    </row>
    <row r="2668">
      <c r="A2668" s="56" t="s">
        <v>1988</v>
      </c>
      <c r="M2668" s="56"/>
    </row>
    <row r="2669">
      <c r="A2669" s="56" t="s">
        <v>1989</v>
      </c>
      <c r="M2669" s="56"/>
    </row>
    <row r="2670">
      <c r="A2670" s="56" t="s">
        <v>1991</v>
      </c>
      <c r="M2670" s="56"/>
    </row>
    <row r="2671">
      <c r="A2671" s="56" t="s">
        <v>1992</v>
      </c>
      <c r="M2671" s="56"/>
    </row>
    <row r="2672">
      <c r="A2672" s="56" t="s">
        <v>1993</v>
      </c>
      <c r="M2672" s="56"/>
    </row>
    <row r="2673">
      <c r="A2673" s="56" t="s">
        <v>3507</v>
      </c>
      <c r="M2673" s="56"/>
    </row>
    <row r="2674">
      <c r="A2674" s="56" t="s">
        <v>3508</v>
      </c>
      <c r="M2674" s="56"/>
    </row>
    <row r="2675">
      <c r="A2675" s="56" t="s">
        <v>1994</v>
      </c>
      <c r="M2675" s="56"/>
    </row>
    <row r="2676">
      <c r="A2676" s="56" t="s">
        <v>1995</v>
      </c>
      <c r="M2676" s="56"/>
    </row>
    <row r="2677">
      <c r="A2677" s="56" t="s">
        <v>932</v>
      </c>
      <c r="M2677" s="56"/>
    </row>
    <row r="2678">
      <c r="M2678" s="56"/>
    </row>
    <row r="2679">
      <c r="A2679" s="56" t="s">
        <v>1829</v>
      </c>
      <c r="M2679" s="56"/>
    </row>
    <row r="2680">
      <c r="A2680" s="56" t="s">
        <v>1997</v>
      </c>
      <c r="M2680" s="56"/>
    </row>
    <row r="2681">
      <c r="A2681" s="56" t="s">
        <v>1829</v>
      </c>
      <c r="M2681" s="56"/>
    </row>
    <row r="2682">
      <c r="A2682" s="56" t="s">
        <v>1999</v>
      </c>
      <c r="M2682" s="56"/>
    </row>
    <row r="2683">
      <c r="A2683" s="56" t="s">
        <v>1929</v>
      </c>
      <c r="M2683" s="56"/>
    </row>
    <row r="2684">
      <c r="A2684" s="56" t="s">
        <v>2007</v>
      </c>
      <c r="M2684" s="56"/>
    </row>
    <row r="2685">
      <c r="A2685" s="56" t="s">
        <v>2008</v>
      </c>
      <c r="M2685" s="56"/>
    </row>
    <row r="2686">
      <c r="A2686" s="56" t="s">
        <v>2009</v>
      </c>
      <c r="M2686" s="56"/>
    </row>
    <row r="2687">
      <c r="A2687" s="56" t="s">
        <v>1910</v>
      </c>
      <c r="M2687" s="56"/>
    </row>
    <row r="2688">
      <c r="M2688" s="56"/>
    </row>
    <row r="2689">
      <c r="A2689" s="56" t="s">
        <v>2011</v>
      </c>
      <c r="M2689" s="56"/>
    </row>
    <row r="2690">
      <c r="A2690" s="56" t="s">
        <v>2012</v>
      </c>
      <c r="M2690" s="56"/>
    </row>
    <row r="2691">
      <c r="A2691" s="56" t="s">
        <v>2013</v>
      </c>
      <c r="M2691" s="56"/>
    </row>
    <row r="2692">
      <c r="A2692" s="56" t="s">
        <v>2014</v>
      </c>
      <c r="M2692" s="56"/>
    </row>
    <row r="2693">
      <c r="M2693" s="56"/>
    </row>
    <row r="2694">
      <c r="A2694" s="56" t="s">
        <v>2016</v>
      </c>
      <c r="M2694" s="56"/>
    </row>
    <row r="2695">
      <c r="A2695" s="56" t="s">
        <v>2017</v>
      </c>
      <c r="M2695" s="56"/>
    </row>
    <row r="2696">
      <c r="A2696" s="56" t="s">
        <v>2018</v>
      </c>
      <c r="M2696" s="56"/>
    </row>
    <row r="2697">
      <c r="A2697" s="56" t="s">
        <v>2019</v>
      </c>
      <c r="M2697" s="56"/>
    </row>
    <row r="2698">
      <c r="A2698" s="56" t="s">
        <v>3509</v>
      </c>
      <c r="M2698" s="56"/>
    </row>
    <row r="2699">
      <c r="A2699" s="56" t="s">
        <v>2021</v>
      </c>
      <c r="M2699" s="56"/>
    </row>
    <row r="2700">
      <c r="A2700" s="56" t="s">
        <v>2022</v>
      </c>
      <c r="M2700" s="56"/>
    </row>
    <row r="2701">
      <c r="A2701" s="56" t="s">
        <v>2023</v>
      </c>
      <c r="M2701" s="56"/>
    </row>
    <row r="2702">
      <c r="A2702" s="56" t="s">
        <v>2024</v>
      </c>
      <c r="M2702" s="56"/>
    </row>
    <row r="2703">
      <c r="A2703" s="56" t="s">
        <v>2026</v>
      </c>
      <c r="M2703" s="56"/>
    </row>
    <row r="2704">
      <c r="A2704" s="56" t="s">
        <v>2027</v>
      </c>
      <c r="M2704" s="56"/>
    </row>
    <row r="2705">
      <c r="A2705" s="56" t="s">
        <v>2004</v>
      </c>
      <c r="M2705" s="56"/>
    </row>
    <row r="2706">
      <c r="A2706" s="56" t="s">
        <v>932</v>
      </c>
      <c r="M2706" s="56"/>
    </row>
    <row r="2707">
      <c r="M2707" s="56"/>
    </row>
    <row r="2708">
      <c r="A2708" s="56" t="s">
        <v>1829</v>
      </c>
      <c r="M2708" s="56"/>
    </row>
    <row r="2709">
      <c r="A2709" s="56" t="s">
        <v>2031</v>
      </c>
      <c r="M2709" s="56"/>
    </row>
    <row r="2710">
      <c r="A2710" s="56" t="s">
        <v>1829</v>
      </c>
      <c r="M2710" s="56"/>
    </row>
    <row r="2711">
      <c r="A2711" s="56" t="s">
        <v>2032</v>
      </c>
      <c r="M2711" s="56"/>
    </row>
    <row r="2712">
      <c r="A2712" s="56" t="s">
        <v>1929</v>
      </c>
      <c r="M2712" s="56"/>
    </row>
    <row r="2713">
      <c r="A2713" s="56" t="s">
        <v>2034</v>
      </c>
      <c r="M2713" s="56"/>
    </row>
    <row r="2714">
      <c r="A2714" s="56" t="s">
        <v>3510</v>
      </c>
      <c r="M2714" s="56"/>
    </row>
    <row r="2715">
      <c r="A2715" s="56" t="s">
        <v>2036</v>
      </c>
      <c r="M2715" s="56"/>
    </row>
    <row r="2716">
      <c r="A2716" s="56" t="s">
        <v>932</v>
      </c>
      <c r="M2716" s="56"/>
    </row>
    <row r="2717">
      <c r="A2717" s="56" t="s">
        <v>2039</v>
      </c>
      <c r="M2717" s="56"/>
    </row>
    <row r="2718">
      <c r="A2718" s="56" t="s">
        <v>2040</v>
      </c>
      <c r="M2718" s="56"/>
    </row>
    <row r="2719">
      <c r="A2719" s="56" t="s">
        <v>3511</v>
      </c>
      <c r="M2719" s="56"/>
    </row>
    <row r="2720">
      <c r="A2720" s="56" t="s">
        <v>932</v>
      </c>
      <c r="M2720" s="56"/>
    </row>
    <row r="2721">
      <c r="M2721" s="56"/>
    </row>
    <row r="2722">
      <c r="A2722" s="56" t="s">
        <v>1829</v>
      </c>
      <c r="M2722" s="56"/>
    </row>
    <row r="2723">
      <c r="A2723" s="56" t="s">
        <v>2043</v>
      </c>
      <c r="M2723" s="56"/>
    </row>
    <row r="2724">
      <c r="A2724" s="56" t="s">
        <v>1829</v>
      </c>
      <c r="M2724" s="56"/>
    </row>
    <row r="2725">
      <c r="A2725" s="56" t="s">
        <v>2045</v>
      </c>
      <c r="M2725" s="56"/>
    </row>
    <row r="2726">
      <c r="A2726" s="56" t="s">
        <v>2046</v>
      </c>
      <c r="M2726" s="56"/>
    </row>
    <row r="2727">
      <c r="A2727" s="56" t="s">
        <v>2048</v>
      </c>
      <c r="M2727" s="56"/>
    </row>
    <row r="2728">
      <c r="A2728" s="56" t="s">
        <v>932</v>
      </c>
      <c r="M2728" s="56"/>
    </row>
    <row r="2729">
      <c r="A2729" s="56" t="s">
        <v>2050</v>
      </c>
      <c r="M2729" s="56"/>
    </row>
    <row r="2730">
      <c r="A2730" s="56" t="s">
        <v>2051</v>
      </c>
      <c r="M2730" s="56"/>
    </row>
    <row r="2731">
      <c r="A2731" s="56" t="s">
        <v>2053</v>
      </c>
      <c r="M2731" s="56"/>
    </row>
    <row r="2732">
      <c r="A2732" s="56" t="s">
        <v>2054</v>
      </c>
      <c r="M2732" s="56"/>
    </row>
    <row r="2733">
      <c r="A2733" s="56" t="s">
        <v>2055</v>
      </c>
      <c r="M2733" s="56"/>
    </row>
    <row r="2734">
      <c r="A2734" s="56" t="s">
        <v>2057</v>
      </c>
      <c r="M2734" s="56"/>
    </row>
    <row r="2735">
      <c r="A2735" s="56" t="s">
        <v>3512</v>
      </c>
      <c r="M2735" s="56"/>
    </row>
    <row r="2736">
      <c r="A2736" s="56" t="s">
        <v>3513</v>
      </c>
      <c r="M2736" s="56"/>
    </row>
    <row r="2737">
      <c r="A2737" s="56" t="s">
        <v>2060</v>
      </c>
      <c r="M2737" s="56"/>
    </row>
    <row r="2738">
      <c r="A2738" s="56" t="s">
        <v>3514</v>
      </c>
      <c r="M2738" s="56"/>
    </row>
    <row r="2739">
      <c r="A2739" s="56" t="s">
        <v>2063</v>
      </c>
      <c r="M2739" s="56"/>
    </row>
    <row r="2740">
      <c r="A2740" s="56" t="s">
        <v>2064</v>
      </c>
      <c r="M2740" s="56"/>
    </row>
    <row r="2741">
      <c r="A2741" s="56" t="s">
        <v>2066</v>
      </c>
      <c r="M2741" s="56"/>
    </row>
    <row r="2742">
      <c r="A2742" s="56" t="s">
        <v>3515</v>
      </c>
      <c r="M2742" s="56"/>
    </row>
    <row r="2743">
      <c r="A2743" s="56" t="s">
        <v>2068</v>
      </c>
      <c r="M2743" s="56"/>
    </row>
    <row r="2744">
      <c r="A2744" s="56" t="s">
        <v>3516</v>
      </c>
      <c r="M2744" s="56"/>
    </row>
    <row r="2745">
      <c r="A2745" s="56" t="s">
        <v>1431</v>
      </c>
      <c r="M2745" s="56"/>
    </row>
    <row r="2746">
      <c r="A2746" s="56" t="s">
        <v>2070</v>
      </c>
      <c r="M2746" s="56"/>
    </row>
    <row r="2747">
      <c r="A2747" s="56" t="s">
        <v>2072</v>
      </c>
      <c r="M2747" s="56"/>
    </row>
    <row r="2748">
      <c r="A2748" s="56" t="s">
        <v>2073</v>
      </c>
      <c r="M2748" s="56"/>
    </row>
    <row r="2749">
      <c r="A2749" s="56" t="s">
        <v>3517</v>
      </c>
      <c r="M2749" s="56"/>
    </row>
    <row r="2750">
      <c r="A2750" s="56" t="s">
        <v>1628</v>
      </c>
      <c r="M2750" s="56"/>
    </row>
    <row r="2751">
      <c r="A2751" s="56" t="s">
        <v>1431</v>
      </c>
      <c r="M2751" s="56"/>
    </row>
    <row r="2752">
      <c r="A2752" s="56" t="s">
        <v>2075</v>
      </c>
      <c r="M2752" s="56"/>
    </row>
    <row r="2753">
      <c r="A2753" s="56" t="s">
        <v>2076</v>
      </c>
      <c r="M2753" s="56"/>
    </row>
    <row r="2754">
      <c r="A2754" s="56" t="s">
        <v>2077</v>
      </c>
      <c r="M2754" s="56"/>
    </row>
    <row r="2755">
      <c r="A2755" s="56" t="s">
        <v>1431</v>
      </c>
      <c r="M2755" s="56"/>
    </row>
    <row r="2756">
      <c r="A2756" s="56" t="s">
        <v>2078</v>
      </c>
      <c r="M2756" s="56"/>
    </row>
    <row r="2757">
      <c r="A2757" s="56" t="s">
        <v>3518</v>
      </c>
      <c r="M2757" s="56"/>
    </row>
    <row r="2758">
      <c r="A2758" s="56" t="s">
        <v>2080</v>
      </c>
      <c r="M2758" s="56"/>
    </row>
    <row r="2759">
      <c r="A2759" s="56" t="s">
        <v>2081</v>
      </c>
      <c r="M2759" s="56"/>
    </row>
    <row r="2760">
      <c r="A2760" s="56" t="s">
        <v>2082</v>
      </c>
      <c r="M2760" s="56"/>
    </row>
    <row r="2761">
      <c r="A2761" s="56" t="s">
        <v>2083</v>
      </c>
      <c r="M2761" s="56"/>
    </row>
    <row r="2762">
      <c r="A2762" s="56" t="s">
        <v>3519</v>
      </c>
      <c r="M2762" s="56"/>
    </row>
    <row r="2763">
      <c r="A2763" s="56" t="s">
        <v>932</v>
      </c>
      <c r="M2763" s="56"/>
    </row>
    <row r="2764">
      <c r="A2764" s="56" t="s">
        <v>2087</v>
      </c>
      <c r="M2764" s="56"/>
    </row>
    <row r="2765">
      <c r="A2765" s="56" t="s">
        <v>2088</v>
      </c>
      <c r="M2765" s="56"/>
    </row>
    <row r="2766">
      <c r="A2766" s="56" t="s">
        <v>2089</v>
      </c>
      <c r="M2766" s="56"/>
    </row>
    <row r="2767">
      <c r="A2767" s="56" t="s">
        <v>2091</v>
      </c>
      <c r="M2767" s="56"/>
    </row>
    <row r="2768">
      <c r="A2768" s="56" t="s">
        <v>2026</v>
      </c>
      <c r="M2768" s="56"/>
    </row>
    <row r="2769">
      <c r="A2769" s="56" t="s">
        <v>2092</v>
      </c>
      <c r="M2769" s="56"/>
    </row>
    <row r="2770">
      <c r="A2770" s="56" t="s">
        <v>932</v>
      </c>
      <c r="M2770" s="56"/>
    </row>
    <row r="2771">
      <c r="A2771" s="56" t="s">
        <v>2093</v>
      </c>
      <c r="M2771" s="56"/>
    </row>
    <row r="2772">
      <c r="A2772" s="56" t="s">
        <v>2094</v>
      </c>
      <c r="M2772" s="56"/>
    </row>
    <row r="2773">
      <c r="A2773" s="56" t="s">
        <v>2096</v>
      </c>
      <c r="M2773" s="56"/>
    </row>
    <row r="2774">
      <c r="A2774" s="56" t="s">
        <v>2098</v>
      </c>
      <c r="M2774" s="56"/>
    </row>
    <row r="2775">
      <c r="A2775" s="56" t="s">
        <v>2099</v>
      </c>
      <c r="M2775" s="56"/>
    </row>
    <row r="2776">
      <c r="A2776" s="56" t="s">
        <v>3520</v>
      </c>
      <c r="M2776" s="56"/>
    </row>
    <row r="2777">
      <c r="A2777" s="56" t="s">
        <v>3521</v>
      </c>
      <c r="M2777" s="56"/>
    </row>
    <row r="2778">
      <c r="A2778" s="56" t="s">
        <v>2102</v>
      </c>
      <c r="M2778" s="56"/>
    </row>
    <row r="2779">
      <c r="A2779" s="56" t="s">
        <v>3522</v>
      </c>
      <c r="M2779" s="56"/>
    </row>
    <row r="2780">
      <c r="A2780" s="56" t="s">
        <v>3523</v>
      </c>
      <c r="M2780" s="56"/>
    </row>
    <row r="2781">
      <c r="A2781" s="56" t="s">
        <v>3524</v>
      </c>
      <c r="M2781" s="56"/>
    </row>
    <row r="2782">
      <c r="A2782" s="56" t="s">
        <v>1929</v>
      </c>
      <c r="M2782" s="56"/>
    </row>
    <row r="2783">
      <c r="A2783" s="56" t="s">
        <v>3525</v>
      </c>
      <c r="M2783" s="56"/>
    </row>
    <row r="2784">
      <c r="A2784" s="56" t="s">
        <v>3526</v>
      </c>
      <c r="M2784" s="56"/>
    </row>
    <row r="2785">
      <c r="A2785" s="56" t="s">
        <v>3527</v>
      </c>
      <c r="M2785" s="56"/>
    </row>
    <row r="2786">
      <c r="A2786" s="56" t="s">
        <v>3528</v>
      </c>
      <c r="M2786" s="56"/>
    </row>
    <row r="2787">
      <c r="A2787" s="56" t="s">
        <v>2117</v>
      </c>
      <c r="M2787" s="56"/>
    </row>
    <row r="2788">
      <c r="A2788" s="56" t="s">
        <v>2119</v>
      </c>
      <c r="M2788" s="56"/>
    </row>
    <row r="2789">
      <c r="A2789" s="56" t="s">
        <v>2120</v>
      </c>
      <c r="M2789" s="56"/>
    </row>
    <row r="2790">
      <c r="A2790" s="56" t="s">
        <v>932</v>
      </c>
      <c r="M2790" s="56"/>
    </row>
    <row r="2791">
      <c r="M2791" s="56"/>
    </row>
    <row r="2792">
      <c r="A2792" s="56" t="s">
        <v>1829</v>
      </c>
      <c r="M2792" s="56"/>
    </row>
    <row r="2793">
      <c r="A2793" s="56" t="s">
        <v>3529</v>
      </c>
      <c r="M2793" s="56"/>
    </row>
    <row r="2794">
      <c r="A2794" s="56" t="s">
        <v>1829</v>
      </c>
      <c r="M2794" s="56"/>
    </row>
    <row r="2795">
      <c r="A2795" s="56" t="s">
        <v>3530</v>
      </c>
      <c r="M2795" s="56"/>
    </row>
    <row r="2796">
      <c r="A2796" s="56" t="s">
        <v>2124</v>
      </c>
      <c r="M2796" s="56"/>
    </row>
    <row r="2797">
      <c r="A2797" s="56" t="s">
        <v>3531</v>
      </c>
      <c r="M2797" s="56"/>
    </row>
    <row r="2798">
      <c r="A2798" s="56" t="s">
        <v>1929</v>
      </c>
      <c r="M2798" s="56"/>
    </row>
    <row r="2799">
      <c r="A2799" s="56" t="s">
        <v>2126</v>
      </c>
      <c r="M2799" s="56"/>
    </row>
    <row r="2800">
      <c r="A2800" s="56" t="s">
        <v>2128</v>
      </c>
      <c r="M2800" s="56"/>
    </row>
    <row r="2801">
      <c r="A2801" s="56" t="s">
        <v>2129</v>
      </c>
      <c r="M2801" s="56"/>
    </row>
    <row r="2802">
      <c r="A2802" s="56" t="s">
        <v>2130</v>
      </c>
      <c r="M2802" s="56"/>
    </row>
    <row r="2803">
      <c r="A2803" s="56" t="s">
        <v>1946</v>
      </c>
      <c r="M2803" s="56"/>
    </row>
    <row r="2804">
      <c r="A2804" s="56" t="s">
        <v>3532</v>
      </c>
      <c r="M2804" s="56"/>
    </row>
    <row r="2805">
      <c r="A2805" s="56" t="s">
        <v>2132</v>
      </c>
      <c r="M2805" s="56"/>
    </row>
    <row r="2806">
      <c r="A2806" s="56" t="s">
        <v>932</v>
      </c>
      <c r="M2806" s="56"/>
    </row>
    <row r="2807">
      <c r="A2807" s="56" t="s">
        <v>2134</v>
      </c>
      <c r="M2807" s="56"/>
    </row>
    <row r="2808">
      <c r="A2808" s="56" t="s">
        <v>2135</v>
      </c>
      <c r="M2808" s="56"/>
    </row>
    <row r="2809">
      <c r="A2809" s="56" t="s">
        <v>2136</v>
      </c>
      <c r="M2809" s="56"/>
    </row>
    <row r="2810">
      <c r="A2810" s="56" t="s">
        <v>2137</v>
      </c>
      <c r="M2810" s="56"/>
    </row>
    <row r="2811">
      <c r="A2811" s="56" t="s">
        <v>2138</v>
      </c>
      <c r="M2811" s="56"/>
    </row>
    <row r="2812">
      <c r="A2812" s="56" t="s">
        <v>2140</v>
      </c>
      <c r="M2812" s="56"/>
    </row>
    <row r="2813">
      <c r="A2813" s="56" t="s">
        <v>2142</v>
      </c>
      <c r="M2813" s="56"/>
    </row>
    <row r="2814">
      <c r="A2814" s="56" t="s">
        <v>2143</v>
      </c>
      <c r="M2814" s="56"/>
    </row>
    <row r="2815">
      <c r="A2815" s="56" t="s">
        <v>2144</v>
      </c>
      <c r="M2815" s="56"/>
    </row>
    <row r="2816">
      <c r="A2816" s="56" t="s">
        <v>2145</v>
      </c>
      <c r="M2816" s="56"/>
    </row>
    <row r="2817">
      <c r="A2817" s="56" t="s">
        <v>2146</v>
      </c>
      <c r="M2817" s="56"/>
    </row>
    <row r="2818">
      <c r="A2818" s="56" t="s">
        <v>2148</v>
      </c>
      <c r="M2818" s="56"/>
    </row>
    <row r="2819">
      <c r="A2819" s="56" t="s">
        <v>2150</v>
      </c>
      <c r="M2819" s="56"/>
    </row>
    <row r="2820">
      <c r="A2820" s="56" t="s">
        <v>2151</v>
      </c>
      <c r="M2820" s="56"/>
    </row>
    <row r="2821">
      <c r="A2821" s="56" t="s">
        <v>2152</v>
      </c>
      <c r="M2821" s="56"/>
    </row>
    <row r="2822">
      <c r="A2822" s="56" t="s">
        <v>3533</v>
      </c>
      <c r="M2822" s="56"/>
    </row>
    <row r="2823">
      <c r="A2823" s="56" t="s">
        <v>2153</v>
      </c>
      <c r="M2823" s="56"/>
    </row>
    <row r="2824">
      <c r="A2824" s="56" t="s">
        <v>1910</v>
      </c>
      <c r="M2824" s="56"/>
    </row>
    <row r="2825">
      <c r="A2825" s="56" t="s">
        <v>3534</v>
      </c>
      <c r="M2825" s="56"/>
    </row>
    <row r="2826">
      <c r="A2826" s="56" t="s">
        <v>2155</v>
      </c>
      <c r="M2826" s="56"/>
    </row>
    <row r="2827">
      <c r="A2827" s="56" t="s">
        <v>2157</v>
      </c>
      <c r="M2827" s="56"/>
    </row>
    <row r="2828">
      <c r="A2828" s="56" t="s">
        <v>2159</v>
      </c>
      <c r="M2828" s="56"/>
    </row>
    <row r="2829">
      <c r="A2829" s="56" t="s">
        <v>2161</v>
      </c>
      <c r="M2829" s="56"/>
    </row>
    <row r="2830">
      <c r="A2830" s="56" t="s">
        <v>2162</v>
      </c>
      <c r="M2830" s="56"/>
    </row>
    <row r="2831">
      <c r="A2831" s="56" t="s">
        <v>1910</v>
      </c>
      <c r="M2831" s="56"/>
    </row>
    <row r="2832">
      <c r="A2832" s="56" t="s">
        <v>2165</v>
      </c>
      <c r="M2832" s="56"/>
    </row>
    <row r="2833">
      <c r="A2833" s="56" t="s">
        <v>3535</v>
      </c>
      <c r="M2833" s="56"/>
    </row>
    <row r="2834">
      <c r="A2834" s="56" t="s">
        <v>2166</v>
      </c>
      <c r="M2834" s="56"/>
    </row>
    <row r="2835">
      <c r="A2835" s="56" t="s">
        <v>2167</v>
      </c>
      <c r="M2835" s="56"/>
    </row>
    <row r="2836">
      <c r="A2836" s="56" t="s">
        <v>2168</v>
      </c>
      <c r="M2836" s="56"/>
    </row>
    <row r="2837">
      <c r="A2837" s="56" t="s">
        <v>932</v>
      </c>
      <c r="M2837" s="56"/>
    </row>
    <row r="2838">
      <c r="A2838" s="56" t="s">
        <v>3536</v>
      </c>
      <c r="M2838" s="56"/>
    </row>
    <row r="2839">
      <c r="A2839" s="56" t="s">
        <v>2169</v>
      </c>
      <c r="M2839" s="56"/>
    </row>
    <row r="2840">
      <c r="A2840" s="56" t="s">
        <v>2170</v>
      </c>
      <c r="M2840" s="56"/>
    </row>
    <row r="2841">
      <c r="A2841" s="56" t="s">
        <v>2172</v>
      </c>
      <c r="M2841" s="56"/>
    </row>
    <row r="2842">
      <c r="A2842" s="56" t="s">
        <v>2174</v>
      </c>
      <c r="M2842" s="56"/>
    </row>
    <row r="2843">
      <c r="A2843" s="56" t="s">
        <v>2130</v>
      </c>
      <c r="M2843" s="56"/>
    </row>
    <row r="2844">
      <c r="A2844" s="56" t="s">
        <v>932</v>
      </c>
      <c r="M2844" s="56"/>
    </row>
    <row r="2845">
      <c r="M2845" s="56"/>
    </row>
    <row r="2846">
      <c r="A2846" s="56" t="s">
        <v>2176</v>
      </c>
      <c r="M2846" s="56"/>
    </row>
    <row r="2847">
      <c r="A2847" s="56" t="s">
        <v>2177</v>
      </c>
      <c r="M2847" s="56"/>
    </row>
    <row r="2848">
      <c r="A2848" s="56" t="s">
        <v>2178</v>
      </c>
      <c r="M2848" s="56"/>
    </row>
    <row r="2849">
      <c r="A2849" s="56" t="s">
        <v>2179</v>
      </c>
      <c r="M2849" s="56"/>
    </row>
    <row r="2850">
      <c r="A2850" s="56" t="s">
        <v>2180</v>
      </c>
      <c r="M2850" s="56"/>
    </row>
    <row r="2851">
      <c r="M2851" s="56"/>
    </row>
    <row r="2852">
      <c r="A2852" s="56" t="s">
        <v>3537</v>
      </c>
      <c r="M2852" s="56"/>
    </row>
    <row r="2853">
      <c r="A2853" s="56" t="s">
        <v>2182</v>
      </c>
      <c r="M2853" s="56"/>
    </row>
    <row r="2854">
      <c r="A2854" s="56" t="s">
        <v>2183</v>
      </c>
      <c r="M2854" s="56"/>
    </row>
    <row r="2855">
      <c r="A2855" s="56" t="s">
        <v>3538</v>
      </c>
      <c r="M2855" s="56"/>
    </row>
    <row r="2856">
      <c r="M2856" s="56"/>
    </row>
    <row r="2857">
      <c r="A2857" s="56" t="s">
        <v>2186</v>
      </c>
      <c r="M2857" s="56"/>
    </row>
    <row r="2858">
      <c r="A2858" s="56" t="s">
        <v>3539</v>
      </c>
      <c r="M2858" s="56"/>
    </row>
    <row r="2859">
      <c r="A2859" s="56" t="s">
        <v>2188</v>
      </c>
      <c r="M2859" s="56"/>
    </row>
    <row r="2860">
      <c r="A2860" s="56" t="s">
        <v>2005</v>
      </c>
      <c r="M2860" s="56"/>
    </row>
    <row r="2861">
      <c r="A2861" s="56" t="s">
        <v>932</v>
      </c>
      <c r="M2861" s="56"/>
    </row>
    <row r="2862">
      <c r="M2862" s="56"/>
    </row>
    <row r="2863">
      <c r="A2863" s="56" t="s">
        <v>3540</v>
      </c>
      <c r="M2863" s="56"/>
    </row>
    <row r="2864">
      <c r="A2864" s="56" t="s">
        <v>3541</v>
      </c>
      <c r="M2864" s="56"/>
    </row>
    <row r="2865">
      <c r="A2865" s="56" t="s">
        <v>3542</v>
      </c>
      <c r="M2865" s="56"/>
    </row>
    <row r="2866">
      <c r="A2866" s="56" t="s">
        <v>3543</v>
      </c>
      <c r="M2866" s="56"/>
    </row>
    <row r="2867">
      <c r="A2867" s="56" t="s">
        <v>1854</v>
      </c>
      <c r="M2867" s="56"/>
    </row>
    <row r="2868">
      <c r="M2868" s="56"/>
    </row>
    <row r="2869">
      <c r="A2869" s="56" t="s">
        <v>2193</v>
      </c>
      <c r="M2869" s="56"/>
    </row>
    <row r="2870">
      <c r="A2870" s="69" t="str">
        <f>+'&lt;th style="cursor:pointer;" onclick="ordSort(\'order_date\')"&gt;Date'+arrow('order_date')+'&lt;/th&gt;'</f>
        <v>#ERROR!</v>
      </c>
      <c r="M2870" s="56"/>
    </row>
    <row r="2871">
      <c r="A2871" s="69" t="str">
        <f>+'&lt;th&gt;Order ID&lt;/th&gt;'</f>
        <v>#ERROR!</v>
      </c>
      <c r="M2871" s="56"/>
    </row>
    <row r="2872">
      <c r="A2872" s="69" t="str">
        <f>+'&lt;th&gt;Channel&lt;/th&gt;'</f>
        <v>#ERROR!</v>
      </c>
      <c r="M2872" s="56"/>
    </row>
    <row r="2873">
      <c r="A2873" s="69" t="str">
        <f>+'&lt;th style="cursor:pointer;" onclick="ordSort(\'buyer_name\')"&gt;Buyer'+arrow('buyer_name')+'&lt;/th&gt;'</f>
        <v>#ERROR!</v>
      </c>
      <c r="M2873" s="56"/>
    </row>
    <row r="2874">
      <c r="A2874" s="69" t="str">
        <f>+'&lt;th&gt;Product&lt;/th&gt;'</f>
        <v>#ERROR!</v>
      </c>
      <c r="M2874" s="56"/>
    </row>
    <row r="2875">
      <c r="A2875" s="69" t="str">
        <f>+'&lt;th style="text-align:right;cursor:pointer;" onclick="ordSort(\'total_quantity\')"&gt;Qty'+arrow('total_quantity')+'&lt;/th&gt;'</f>
        <v>#ERROR!</v>
      </c>
      <c r="M2875" s="56"/>
    </row>
    <row r="2876">
      <c r="A2876" s="69" t="str">
        <f>+'&lt;th&gt;Status&lt;/th&gt;'</f>
        <v>#ERROR!</v>
      </c>
      <c r="M2876" s="56"/>
    </row>
    <row r="2877">
      <c r="A2877" s="69" t="str">
        <f>+'&lt;th style="width:40px;"&gt;&lt;/th&gt;'</f>
        <v>#ERROR!</v>
      </c>
      <c r="M2877" s="56"/>
    </row>
    <row r="2878">
      <c r="A2878" s="69" t="str">
        <f>+'&lt;/tr&gt;&lt;/thead&gt;&lt;tbody&gt;';</f>
        <v>#ERROR!</v>
      </c>
      <c r="M2878" s="56"/>
    </row>
    <row r="2879">
      <c r="M2879" s="56"/>
    </row>
    <row r="2880">
      <c r="A2880" s="56" t="s">
        <v>2198</v>
      </c>
      <c r="M2880" s="56"/>
    </row>
    <row r="2881">
      <c r="A2881" s="56" t="s">
        <v>2199</v>
      </c>
      <c r="M2881" s="56"/>
    </row>
    <row r="2882">
      <c r="A2882" s="56" t="s">
        <v>3544</v>
      </c>
      <c r="M2882" s="56"/>
    </row>
    <row r="2883">
      <c r="A2883" s="56" t="s">
        <v>2201</v>
      </c>
      <c r="M2883" s="56"/>
    </row>
    <row r="2884">
      <c r="A2884" s="56" t="s">
        <v>2203</v>
      </c>
      <c r="M2884" s="56"/>
    </row>
    <row r="2885">
      <c r="A2885" s="56" t="s">
        <v>3545</v>
      </c>
      <c r="M2885" s="56"/>
    </row>
    <row r="2886">
      <c r="A2886" s="69" t="str">
        <f>+'&lt;td class="mono" style="font-size:11px;white-space:nowrap;"&gt;'+esc(o.order_date)+'&lt;/td&gt;'</f>
        <v>#ERROR!</v>
      </c>
      <c r="M2886" s="56"/>
    </row>
    <row r="2887">
      <c r="A2887" s="69" t="str">
        <v>#ERROR!</v>
      </c>
      <c r="M2887" s="56"/>
    </row>
    <row r="2888">
      <c r="A2888" s="69" t="str">
        <f>+'&lt;td&gt;&lt;span style="display:inline-flex;align-items:center;gap:4px;font-size:12px;font-weight:500;"&gt;&lt;span style="width:7px;height:7px;border-radius:50%;background:'+chColor+';flex-shrink:0;"&gt;&lt;/span&gt;'+esc(o.channel)+'&lt;/span&gt;&lt;/td&gt;'</f>
        <v>#ERROR!</v>
      </c>
      <c r="M2888" s="56"/>
    </row>
    <row r="2889">
      <c r="A2889" s="69" t="str">
        <f>+'&lt;td&gt;&lt;div style="font-size:13px;font-weight:500;"&gt;'+esc(o.buyer_name)+'&lt;/div&gt;&lt;div style="font-size:10px;color:var(--muted);"&gt;'+esc(o.buyer_contact)+'&lt;/div&gt;&lt;/td&gt;'</f>
        <v>#ERROR!</v>
      </c>
      <c r="M2889" s="56"/>
    </row>
    <row r="2890">
      <c r="A2890" s="69" t="str">
        <f>+'&lt;td class="mono" style="font-size:11px;max-width:160px;overflow:hidden;text-overflow:ellipsis;white-space:nowrap;"&gt;'+productList+'&lt;/td&gt;'</f>
        <v>#ERROR!</v>
      </c>
      <c r="M2890" s="56"/>
    </row>
    <row r="2891">
      <c r="A2891" s="69" t="str">
        <f>+'&lt;td class="mono" style="text-align:right;font-weight:700;font-size:14px;"&gt;'+o.total_quantity+'&lt;/td&gt;'</f>
        <v>#ERROR!</v>
      </c>
      <c r="M2891" s="56"/>
    </row>
    <row r="2892">
      <c r="A2892" s="69" t="str">
        <f>+'&lt;td&gt;&lt;span class="badge '+(statusCls[o.status]||'')+'" style="font-size:10px;"&gt;'+esc(o.status)+'&lt;/span&gt;&lt;/td&gt;'</f>
        <v>#ERROR!</v>
      </c>
      <c r="M2892" s="56"/>
    </row>
    <row r="2893">
      <c r="A2893" s="69" t="str">
        <f>+'&lt;td style="text-align:center;"&gt;&lt;svg width="14" height="14" fill="none" stroke="var(--muted)" viewBox="0 0 24 24" style="opacity:.5;"&gt;&lt;path d="M9 18l6-6-6-6"/&gt;&lt;/svg&gt;&lt;/td&gt;'</f>
        <v>#ERROR!</v>
      </c>
      <c r="M2893" s="56"/>
    </row>
    <row r="2894">
      <c r="A2894" s="69" t="str">
        <f>+'&lt;/tr&gt;';</f>
        <v>#ERROR!</v>
      </c>
      <c r="M2894" s="56"/>
    </row>
    <row r="2895">
      <c r="A2895" s="56" t="s">
        <v>932</v>
      </c>
      <c r="M2895" s="56"/>
    </row>
    <row r="2896">
      <c r="A2896" s="56" t="s">
        <v>2218</v>
      </c>
      <c r="M2896" s="56"/>
    </row>
    <row r="2897">
      <c r="A2897" s="56" t="s">
        <v>2219</v>
      </c>
      <c r="M2897" s="56"/>
    </row>
    <row r="2898">
      <c r="M2898" s="56"/>
    </row>
    <row r="2899">
      <c r="A2899" s="56" t="s">
        <v>3546</v>
      </c>
      <c r="M2899" s="56"/>
    </row>
    <row r="2900">
      <c r="A2900" s="56" t="s">
        <v>2220</v>
      </c>
      <c r="M2900" s="56"/>
    </row>
    <row r="2901">
      <c r="A2901" s="56" t="s">
        <v>2221</v>
      </c>
      <c r="M2901" s="56"/>
    </row>
    <row r="2902">
      <c r="A2902" s="56" t="s">
        <v>2222</v>
      </c>
      <c r="M2902" s="56"/>
    </row>
    <row r="2903">
      <c r="A2903" s="56" t="s">
        <v>2223</v>
      </c>
      <c r="M2903" s="56"/>
    </row>
    <row r="2904">
      <c r="A2904" s="56" t="s">
        <v>2225</v>
      </c>
      <c r="M2904" s="56"/>
    </row>
    <row r="2905">
      <c r="A2905" s="56" t="s">
        <v>3547</v>
      </c>
      <c r="M2905" s="56"/>
    </row>
    <row r="2906">
      <c r="A2906" s="69" t="str">
        <f>+'&lt;div class="pag-btns"&gt;'</f>
        <v>#ERROR!</v>
      </c>
      <c r="M2906" s="56"/>
    </row>
    <row r="2907">
      <c r="A2907" s="69" t="str">
        <f>+'&lt;button class="pb" onclick="ordGoPage('+(page-1)+')"'+(page&lt;=1?' disabled':'')+'&gt;← Prev&lt;/button&gt;'</f>
        <v>#ERROR!</v>
      </c>
      <c r="M2907" s="56"/>
    </row>
    <row r="2908">
      <c r="A2908" s="69" t="str">
        <v>#ERROR!</v>
      </c>
      <c r="M2908" s="56"/>
    </row>
    <row r="2909">
      <c r="A2909" s="69" t="str">
        <f>+'&lt;button class="pb" onclick="ordGoPage('+(page+1)+')"'+(page&gt;=pages?' disabled':'')+'&gt;Next →&lt;/button&gt;'</f>
        <v>#ERROR!</v>
      </c>
      <c r="M2909" s="56"/>
    </row>
    <row r="2910">
      <c r="A2910" s="69" t="str">
        <f>+'&lt;/div&gt;';</f>
        <v>#ERROR!</v>
      </c>
      <c r="M2910" s="56"/>
    </row>
    <row r="2911">
      <c r="A2911" s="56" t="s">
        <v>932</v>
      </c>
      <c r="M2911" s="56"/>
    </row>
    <row r="2912">
      <c r="M2912" s="56"/>
    </row>
    <row r="2913">
      <c r="A2913" s="56" t="s">
        <v>3548</v>
      </c>
      <c r="M2913" s="56"/>
    </row>
    <row r="2914">
      <c r="A2914" s="56" t="s">
        <v>2233</v>
      </c>
      <c r="M2914" s="56"/>
    </row>
    <row r="2915">
      <c r="A2915" s="56" t="s">
        <v>2234</v>
      </c>
      <c r="M2915" s="56"/>
    </row>
    <row r="2916">
      <c r="A2916" s="56" t="s">
        <v>2236</v>
      </c>
      <c r="M2916" s="56"/>
    </row>
    <row r="2917">
      <c r="A2917" s="56" t="s">
        <v>2238</v>
      </c>
      <c r="M2917" s="56"/>
    </row>
    <row r="2918">
      <c r="A2918" s="56" t="s">
        <v>3540</v>
      </c>
      <c r="M2918" s="56"/>
    </row>
    <row r="2919">
      <c r="A2919" s="56" t="s">
        <v>3544</v>
      </c>
      <c r="M2919" s="56"/>
    </row>
    <row r="2920">
      <c r="A2920" s="56" t="s">
        <v>2203</v>
      </c>
      <c r="M2920" s="56"/>
    </row>
    <row r="2921">
      <c r="M2921" s="56"/>
    </row>
    <row r="2922">
      <c r="A2922" s="56" t="s">
        <v>3549</v>
      </c>
      <c r="M2922" s="56"/>
    </row>
    <row r="2923">
      <c r="A2923" s="69" t="str">
        <f>+'&lt;div&gt;'</f>
        <v>#ERROR!</v>
      </c>
      <c r="M2923" s="56"/>
    </row>
    <row r="2924">
      <c r="A2924" s="69" t="str">
        <f>+'&lt;div style="font-size:16px;font-weight:600;"&gt;'+esc(o.buyer_name)+'&lt;/div&gt;'</f>
        <v>#ERROR!</v>
      </c>
      <c r="M2924" s="56"/>
    </row>
    <row r="2925">
      <c r="A2925" s="69" t="str">
        <f>+'&lt;div style="font-size:12px;color:var(--muted);margin-top:2px;"&gt;'+esc(o.buyer_contact)+'&lt;/div&gt;'</f>
        <v>#ERROR!</v>
      </c>
      <c r="M2925" s="56"/>
    </row>
    <row r="2926">
      <c r="A2926" s="69" t="str">
        <f>+'&lt;/div&gt;'</f>
        <v>#ERROR!</v>
      </c>
      <c r="M2926" s="56"/>
    </row>
    <row r="2927">
      <c r="A2927" s="69" t="str">
        <f>+'&lt;div style="text-align:right;"&gt;'</f>
        <v>#ERROR!</v>
      </c>
      <c r="M2927" s="56"/>
    </row>
    <row r="2928">
      <c r="A2928" s="69" t="str">
        <f>+'&lt;span class="badge '+(statusCls[o.status]||'')+'"&gt;'+esc(o.status)+'&lt;/span&gt;'</f>
        <v>#ERROR!</v>
      </c>
      <c r="M2928" s="56"/>
    </row>
    <row r="2929">
      <c r="A2929" s="69" t="str">
        <f>+'&lt;div style="margin-top:4px;display:flex;align-items:center;gap:4px;justify-content:flex-end;"&gt;&lt;span style="width:7px;height:7px;border-radius:50%;background:'+chColor+';"&gt;&lt;/span&gt;&lt;span style="font-size:12px;"&gt;'+esc(o.channel)+'&lt;/span&gt;&lt;/div&gt;'</f>
        <v>#ERROR!</v>
      </c>
      <c r="M2929" s="56"/>
    </row>
    <row r="2930">
      <c r="A2930" s="69" t="str">
        <f>+'&lt;/div&gt;&lt;/div&gt;';</f>
        <v>#ERROR!</v>
      </c>
      <c r="M2930" s="56"/>
    </row>
    <row r="2931">
      <c r="M2931" s="56"/>
    </row>
    <row r="2932">
      <c r="A2932" s="56" t="s">
        <v>3550</v>
      </c>
      <c r="M2932" s="56"/>
    </row>
    <row r="2933">
      <c r="A2933" s="69" t="str">
        <f>+'&lt;div style="background:var(--surface2);padding:10px 14px;border-radius:8px;"&gt;&lt;div style="font-size:10px;color:var(--muted);text-transform:uppercase;letter-spacing:.5px;"&gt;Order Date&lt;/div&gt;&lt;div class="mono" style="font-size:14px;font-weight:600;margin-top:2px;"&gt;'+esc(o.order_date)+'&lt;/div&gt;&lt;/div&gt;'</f>
        <v>#ERROR!</v>
      </c>
      <c r="M2933" s="56"/>
    </row>
    <row r="2934">
      <c r="A2934" s="69" t="str">
        <f>+'&lt;div style="background:var(--surface2);padding:10px 14px;border-radius:8px;"&gt;&lt;div style="font-size:10px;color:var(--muted);text-transform:uppercase;letter-spacing:.5px;"&gt;Total Quantity&lt;/div&gt;&lt;div class="mono" style="font-size:14px;font-weight:600;margin-top:2px;color:var(--amber);"&gt;'+o.total_quantity+' unit'+(o.total_quantity&gt;1?'s':'')+'&lt;/div&gt;&lt;/div&gt;'</f>
        <v>#ERROR!</v>
      </c>
      <c r="M2934" s="56"/>
    </row>
    <row r="2935">
      <c r="A2935" s="69" t="str">
        <f>+'&lt;/div&gt;';</f>
        <v>#ERROR!</v>
      </c>
      <c r="M2935" s="56"/>
    </row>
    <row r="2936">
      <c r="M2936" s="56"/>
    </row>
    <row r="2937">
      <c r="A2937" s="56" t="s">
        <v>3551</v>
      </c>
      <c r="M2937" s="56"/>
    </row>
    <row r="2938">
      <c r="A2938" s="56" t="s">
        <v>3552</v>
      </c>
      <c r="M2938" s="56"/>
    </row>
    <row r="2939">
      <c r="A2939" s="56" t="s">
        <v>3553</v>
      </c>
      <c r="M2939" s="56"/>
    </row>
    <row r="2940">
      <c r="A2940" s="56" t="s">
        <v>3554</v>
      </c>
      <c r="M2940" s="56"/>
    </row>
    <row r="2941">
      <c r="A2941" s="56" t="s">
        <v>3555</v>
      </c>
      <c r="M2941" s="56"/>
    </row>
    <row r="2942">
      <c r="A2942" s="69" t="str">
        <f>+'&lt;td class="mono" style="font-size:12px;color:var(--blue);font-weight:600;"&gt;'+esc(it.style_no)+'&lt;/td&gt;'</f>
        <v>#ERROR!</v>
      </c>
      <c r="M2942" s="56"/>
    </row>
    <row r="2943">
      <c r="A2943" s="69" t="str">
        <f>+'&lt;td style="font-size:12px;"&gt;'+esc(it.product_name)+'&lt;/td&gt;'</f>
        <v>#ERROR!</v>
      </c>
      <c r="M2943" s="56"/>
    </row>
    <row r="2944">
      <c r="A2944" s="69" t="str">
        <f>+'&lt;td class="mono" style="text-align:center;"&gt;'+esc(it.size)+'&lt;/td&gt;'</f>
        <v>#ERROR!</v>
      </c>
      <c r="M2944" s="56"/>
    </row>
    <row r="2945">
      <c r="A2945" s="69" t="str">
        <f>+'&lt;td class="mono" style="text-align:right;font-weight:700;"&gt;'+it.quantity+'&lt;/td&gt;'</f>
        <v>#ERROR!</v>
      </c>
      <c r="M2945" s="56"/>
    </row>
    <row r="2946">
      <c r="A2946" s="69" t="str">
        <f>+'&lt;/tr&gt;';</f>
        <v>#ERROR!</v>
      </c>
      <c r="M2946" s="56"/>
    </row>
    <row r="2947">
      <c r="A2947" s="56" t="s">
        <v>932</v>
      </c>
      <c r="M2947" s="56"/>
    </row>
    <row r="2948">
      <c r="A2948" s="56" t="s">
        <v>2218</v>
      </c>
      <c r="M2948" s="56"/>
    </row>
    <row r="2949">
      <c r="M2949" s="56"/>
    </row>
    <row r="2950">
      <c r="A2950" s="56" t="s">
        <v>3556</v>
      </c>
      <c r="M2950" s="56"/>
    </row>
    <row r="2951">
      <c r="A2951" s="69" t="str">
        <f>+'&lt;div&gt;Submitted: &lt;span class="mono"&gt;'+esc(o.submitted_at)+'&lt;/span&gt; by &lt;span class="mono"&gt;'+esc(o.submitted_by)+'&lt;/span&gt;&lt;/div&gt;'</f>
        <v>#ERROR!</v>
      </c>
      <c r="M2951" s="56"/>
    </row>
    <row r="2952">
      <c r="A2952" s="69" t="str">
        <f>+(o.notes?'&lt;div style="margin-top:4px;"&gt;Notes: '+esc(o.notes)+'&lt;/div&gt;':'')</f>
        <v>#ERROR!</v>
      </c>
      <c r="M2952" s="56"/>
    </row>
    <row r="2953">
      <c r="A2953" s="69" t="str">
        <f>+'&lt;/div&gt;';</f>
        <v>#ERROR!</v>
      </c>
      <c r="M2953" s="56"/>
    </row>
    <row r="2954">
      <c r="M2954" s="56"/>
    </row>
    <row r="2955">
      <c r="A2955" s="56" t="s">
        <v>2280</v>
      </c>
      <c r="M2955" s="56"/>
    </row>
    <row r="2956">
      <c r="A2956" s="56" t="s">
        <v>3557</v>
      </c>
      <c r="M2956" s="56"/>
    </row>
    <row r="2957">
      <c r="A2957" s="69" t="str">
        <f>+'&lt;button class="btn btn-danger-soft btn-sm" onclick="cancelOrd(\''+o.order_id+'\');closeOrdModal();"&gt;Cancel &amp; restore stock&lt;/button&gt;'</f>
        <v>#ERROR!</v>
      </c>
      <c r="M2957" s="56"/>
    </row>
    <row r="2958">
      <c r="A2958" s="69" t="str">
        <f>+'&lt;/div&gt;';</f>
        <v>#ERROR!</v>
      </c>
      <c r="M2958" s="56"/>
    </row>
    <row r="2959">
      <c r="A2959" s="56" t="s">
        <v>932</v>
      </c>
      <c r="M2959" s="56"/>
    </row>
    <row r="2960">
      <c r="M2960" s="56"/>
    </row>
    <row r="2961">
      <c r="A2961" s="56" t="s">
        <v>2285</v>
      </c>
      <c r="M2961" s="56"/>
    </row>
    <row r="2962">
      <c r="A2962" s="56" t="s">
        <v>2286</v>
      </c>
      <c r="M2962" s="56"/>
    </row>
    <row r="2963">
      <c r="A2963" s="56" t="s">
        <v>932</v>
      </c>
      <c r="M2963" s="56"/>
    </row>
    <row r="2964">
      <c r="A2964" s="56" t="s">
        <v>2287</v>
      </c>
      <c r="M2964" s="56"/>
    </row>
    <row r="2965">
      <c r="M2965" s="56"/>
    </row>
    <row r="2966">
      <c r="A2966" s="56" t="s">
        <v>2289</v>
      </c>
      <c r="M2966" s="56"/>
    </row>
    <row r="2967">
      <c r="A2967" s="56" t="s">
        <v>3558</v>
      </c>
      <c r="M2967" s="56"/>
    </row>
    <row r="2968">
      <c r="A2968" s="56" t="s">
        <v>1929</v>
      </c>
      <c r="M2968" s="56"/>
    </row>
    <row r="2969">
      <c r="A2969" s="56" t="s">
        <v>3559</v>
      </c>
      <c r="M2969" s="56"/>
    </row>
    <row r="2970">
      <c r="A2970" s="56" t="s">
        <v>3560</v>
      </c>
      <c r="M2970" s="56"/>
    </row>
    <row r="2971">
      <c r="A2971" s="56" t="s">
        <v>2294</v>
      </c>
      <c r="M2971" s="56"/>
    </row>
    <row r="2972">
      <c r="A2972" s="56" t="s">
        <v>932</v>
      </c>
      <c r="M2972" s="56"/>
    </row>
    <row r="2973">
      <c r="M2973" s="56"/>
    </row>
    <row r="2974">
      <c r="A2974" s="56" t="s">
        <v>1829</v>
      </c>
      <c r="M2974" s="56"/>
    </row>
    <row r="2975">
      <c r="A2975" s="56" t="s">
        <v>2297</v>
      </c>
      <c r="M2975" s="56"/>
    </row>
    <row r="2976">
      <c r="A2976" s="56" t="s">
        <v>1829</v>
      </c>
      <c r="M2976" s="56"/>
    </row>
    <row r="2977">
      <c r="A2977" s="56" t="s">
        <v>2299</v>
      </c>
      <c r="M2977" s="56"/>
    </row>
    <row r="2978">
      <c r="A2978" s="56" t="s">
        <v>3561</v>
      </c>
      <c r="M2978" s="56"/>
    </row>
    <row r="2979">
      <c r="A2979" s="56" t="s">
        <v>1929</v>
      </c>
      <c r="M2979" s="56"/>
    </row>
    <row r="2980">
      <c r="A2980" s="56" t="s">
        <v>2301</v>
      </c>
      <c r="M2980" s="56"/>
    </row>
    <row r="2981">
      <c r="A2981" s="56" t="s">
        <v>3562</v>
      </c>
      <c r="M2981" s="56"/>
    </row>
    <row r="2982">
      <c r="A2982" s="56" t="s">
        <v>2036</v>
      </c>
      <c r="M2982" s="56"/>
    </row>
    <row r="2983">
      <c r="A2983" s="56" t="s">
        <v>932</v>
      </c>
      <c r="M2983" s="56"/>
    </row>
    <row r="2984">
      <c r="A2984" s="56" t="s">
        <v>2304</v>
      </c>
      <c r="M2984" s="56"/>
    </row>
    <row r="2985">
      <c r="A2985" s="56" t="s">
        <v>3563</v>
      </c>
      <c r="M2985" s="56"/>
    </row>
    <row r="2986">
      <c r="A2986" s="56" t="s">
        <v>3564</v>
      </c>
      <c r="M2986" s="56"/>
    </row>
    <row r="2987">
      <c r="A2987" s="56" t="s">
        <v>3565</v>
      </c>
      <c r="M2987" s="56"/>
    </row>
    <row r="2988">
      <c r="A2988" s="56" t="s">
        <v>3566</v>
      </c>
      <c r="M2988" s="56"/>
    </row>
    <row r="2989">
      <c r="A2989" s="56" t="s">
        <v>2305</v>
      </c>
      <c r="M2989" s="56"/>
    </row>
    <row r="2990">
      <c r="A2990" s="56" t="s">
        <v>2307</v>
      </c>
      <c r="M2990" s="56"/>
    </row>
    <row r="2991">
      <c r="A2991" s="56" t="s">
        <v>2309</v>
      </c>
      <c r="M2991" s="56"/>
    </row>
    <row r="2992">
      <c r="A2992" s="56" t="s">
        <v>3567</v>
      </c>
      <c r="M2992" s="56"/>
    </row>
    <row r="2993">
      <c r="A2993" s="56" t="s">
        <v>2310</v>
      </c>
      <c r="M2993" s="56"/>
    </row>
    <row r="2994">
      <c r="A2994" s="56" t="s">
        <v>2311</v>
      </c>
      <c r="M2994" s="56"/>
    </row>
    <row r="2995">
      <c r="A2995" s="56" t="s">
        <v>2312</v>
      </c>
      <c r="M2995" s="56"/>
    </row>
    <row r="2996">
      <c r="A2996" s="56" t="s">
        <v>2313</v>
      </c>
      <c r="M2996" s="56"/>
    </row>
    <row r="2997">
      <c r="A2997" s="56" t="s">
        <v>1910</v>
      </c>
      <c r="M2997" s="56"/>
    </row>
    <row r="2998">
      <c r="A2998" s="56" t="s">
        <v>2315</v>
      </c>
      <c r="M2998" s="56"/>
    </row>
    <row r="2999">
      <c r="A2999" s="56" t="s">
        <v>3568</v>
      </c>
      <c r="M2999" s="56"/>
    </row>
    <row r="3000">
      <c r="A3000" s="56" t="s">
        <v>3569</v>
      </c>
      <c r="M3000" s="56"/>
    </row>
    <row r="3001">
      <c r="A3001" s="56" t="s">
        <v>1944</v>
      </c>
      <c r="M3001" s="56"/>
    </row>
    <row r="3002">
      <c r="A3002" s="56" t="s">
        <v>3570</v>
      </c>
      <c r="M3002" s="56"/>
    </row>
    <row r="3003">
      <c r="A3003" s="56" t="s">
        <v>2318</v>
      </c>
      <c r="M3003" s="56"/>
    </row>
    <row r="3004">
      <c r="A3004" s="56" t="s">
        <v>2319</v>
      </c>
      <c r="M3004" s="56"/>
    </row>
    <row r="3005">
      <c r="A3005" s="56" t="s">
        <v>932</v>
      </c>
      <c r="M3005" s="56"/>
    </row>
    <row r="3006">
      <c r="A3006" s="56" t="s">
        <v>2320</v>
      </c>
      <c r="M3006" s="56"/>
    </row>
    <row r="3007">
      <c r="A3007" s="56" t="s">
        <v>932</v>
      </c>
      <c r="M3007" s="56"/>
    </row>
    <row r="3008">
      <c r="A3008" s="56" t="s">
        <v>3571</v>
      </c>
      <c r="M3008" s="56"/>
    </row>
    <row r="3009">
      <c r="A3009" s="56" t="s">
        <v>3572</v>
      </c>
      <c r="M3009" s="56"/>
    </row>
    <row r="3010">
      <c r="A3010" s="56" t="s">
        <v>3573</v>
      </c>
      <c r="M3010" s="56"/>
    </row>
    <row r="3011">
      <c r="A3011" s="56" t="s">
        <v>3574</v>
      </c>
      <c r="M3011" s="56"/>
    </row>
    <row r="3012">
      <c r="A3012" s="56" t="s">
        <v>932</v>
      </c>
      <c r="M3012" s="56"/>
    </row>
    <row r="3013">
      <c r="A3013" s="56" t="s">
        <v>3575</v>
      </c>
      <c r="M3013" s="56"/>
    </row>
    <row r="3014">
      <c r="A3014" s="56" t="s">
        <v>2325</v>
      </c>
      <c r="M3014" s="56"/>
    </row>
    <row r="3015">
      <c r="A3015" s="56" t="s">
        <v>2327</v>
      </c>
      <c r="M3015" s="56"/>
    </row>
    <row r="3016">
      <c r="A3016" s="56" t="s">
        <v>3576</v>
      </c>
      <c r="M3016" s="56"/>
    </row>
    <row r="3017">
      <c r="A3017" s="56" t="s">
        <v>2329</v>
      </c>
      <c r="M3017" s="56"/>
    </row>
    <row r="3018">
      <c r="A3018" s="56" t="s">
        <v>2330</v>
      </c>
      <c r="M3018" s="56"/>
    </row>
    <row r="3019">
      <c r="A3019" s="56" t="s">
        <v>2331</v>
      </c>
      <c r="M3019" s="56"/>
    </row>
    <row r="3020">
      <c r="A3020" s="56" t="s">
        <v>2332</v>
      </c>
      <c r="M3020" s="56"/>
    </row>
    <row r="3021">
      <c r="A3021" s="56" t="s">
        <v>2333</v>
      </c>
      <c r="M3021" s="56"/>
    </row>
    <row r="3022">
      <c r="A3022" s="56" t="s">
        <v>3577</v>
      </c>
      <c r="M3022" s="56"/>
    </row>
    <row r="3023">
      <c r="M3023" s="56"/>
    </row>
    <row r="3024">
      <c r="A3024" s="56" t="s">
        <v>2186</v>
      </c>
      <c r="M3024" s="56"/>
    </row>
    <row r="3025">
      <c r="A3025" s="56" t="s">
        <v>3578</v>
      </c>
      <c r="M3025" s="56"/>
    </row>
    <row r="3026">
      <c r="A3026" s="56" t="s">
        <v>2338</v>
      </c>
      <c r="M3026" s="56"/>
    </row>
    <row r="3027">
      <c r="A3027" s="56" t="s">
        <v>932</v>
      </c>
      <c r="M3027" s="56"/>
    </row>
    <row r="3028">
      <c r="M3028" s="56"/>
    </row>
    <row r="3029">
      <c r="A3029" s="56" t="s">
        <v>2339</v>
      </c>
      <c r="M3029" s="56"/>
    </row>
    <row r="3030">
      <c r="A3030" s="56" t="s">
        <v>2341</v>
      </c>
      <c r="M3030" s="56"/>
    </row>
    <row r="3031">
      <c r="A3031" s="56" t="s">
        <v>2342</v>
      </c>
      <c r="M3031" s="56"/>
    </row>
    <row r="3032">
      <c r="A3032" s="56" t="s">
        <v>3579</v>
      </c>
      <c r="M3032" s="56"/>
    </row>
    <row r="3033">
      <c r="A3033" s="56" t="s">
        <v>3580</v>
      </c>
      <c r="M3033" s="56"/>
    </row>
    <row r="3034">
      <c r="A3034" s="56" t="s">
        <v>3581</v>
      </c>
      <c r="M3034" s="56"/>
    </row>
    <row r="3035">
      <c r="A3035" s="56" t="s">
        <v>3582</v>
      </c>
      <c r="M3035" s="56"/>
    </row>
    <row r="3036">
      <c r="A3036" s="56" t="s">
        <v>3583</v>
      </c>
      <c r="M3036" s="56"/>
    </row>
    <row r="3037">
      <c r="A3037" s="56" t="s">
        <v>3584</v>
      </c>
      <c r="M3037" s="56"/>
    </row>
    <row r="3038">
      <c r="A3038" s="56" t="s">
        <v>2967</v>
      </c>
      <c r="M3038" s="56"/>
    </row>
    <row r="3039">
      <c r="A3039" s="56" t="s">
        <v>2344</v>
      </c>
      <c r="M3039" s="56"/>
    </row>
    <row r="3040">
      <c r="A3040" s="56" t="s">
        <v>2345</v>
      </c>
      <c r="M3040" s="56"/>
    </row>
    <row r="3041">
      <c r="A3041" s="56" t="s">
        <v>2346</v>
      </c>
      <c r="M3041" s="56"/>
    </row>
    <row r="3042">
      <c r="M3042" s="56"/>
    </row>
    <row r="3043">
      <c r="A3043" s="56" t="s">
        <v>3585</v>
      </c>
      <c r="M3043" s="56"/>
    </row>
    <row r="3044">
      <c r="A3044" s="56" t="s">
        <v>3586</v>
      </c>
      <c r="M3044" s="56"/>
    </row>
    <row r="3045">
      <c r="A3045" s="56" t="s">
        <v>3587</v>
      </c>
      <c r="M3045" s="56"/>
    </row>
    <row r="3046">
      <c r="A3046" s="56" t="s">
        <v>3588</v>
      </c>
      <c r="M3046" s="56"/>
    </row>
    <row r="3047">
      <c r="A3047" s="56" t="s">
        <v>3589</v>
      </c>
      <c r="M3047" s="56"/>
    </row>
    <row r="3048">
      <c r="A3048" s="69" t="str">
        <f>+ '&lt;img src="' + imgUrl(p.image_id, 400) + '" alt="' + esc(p.product_name) + '" '</f>
        <v>#ERROR!</v>
      </c>
      <c r="M3048" s="56"/>
    </row>
    <row r="3049">
      <c r="A3049" s="69" t="str">
        <f>+ 'onerror="var d=this.parentElement;d.innerHTML=\'&lt;div class=&amp;quot;hero-placeholder&amp;quot; style=&amp;quot;background:' + pal.bg + ';color:' + pal.fg + '&amp;quot;&gt;' + initials + '&lt;/div&gt;\';"&gt;'</f>
        <v>#ERROR!</v>
      </c>
      <c r="M3049" s="56"/>
    </row>
    <row r="3050">
      <c r="A3050" s="69" t="str">
        <f>+ '&lt;/div&gt;';</f>
        <v>#ERROR!</v>
      </c>
      <c r="M3050" s="56"/>
    </row>
    <row r="3051">
      <c r="A3051" s="56" t="s">
        <v>1944</v>
      </c>
      <c r="M3051" s="56"/>
    </row>
    <row r="3052">
      <c r="A3052" s="56" t="s">
        <v>3589</v>
      </c>
      <c r="M3052" s="56"/>
    </row>
    <row r="3053">
      <c r="A3053" s="69" t="str">
        <f>+ '&lt;div class="hero-placeholder" style="background:' + pal.bg + ';color:' + pal.fg + ';"&gt;'</f>
        <v>#ERROR!</v>
      </c>
      <c r="M3053" s="56"/>
    </row>
    <row r="3054">
      <c r="A3054" s="69" t="str">
        <f>+ initials</f>
        <v>#NAME?</v>
      </c>
      <c r="M3054" s="56"/>
    </row>
    <row r="3055">
      <c r="A3055" s="69" t="str">
        <f>+ '&lt;div class="ph-hint"&gt;no image&lt;/div&gt;'</f>
        <v>#ERROR!</v>
      </c>
      <c r="M3055" s="56"/>
    </row>
    <row r="3056">
      <c r="A3056" s="69" t="str">
        <f>+ '&lt;/div&gt;'</f>
        <v>#ERROR!</v>
      </c>
      <c r="M3056" s="56"/>
    </row>
    <row r="3057">
      <c r="A3057" s="69" t="str">
        <f>+ '&lt;/div&gt;';</f>
        <v>#ERROR!</v>
      </c>
      <c r="M3057" s="56"/>
    </row>
    <row r="3058">
      <c r="A3058" s="56" t="s">
        <v>932</v>
      </c>
      <c r="M3058" s="56"/>
    </row>
    <row r="3059">
      <c r="M3059" s="56"/>
    </row>
    <row r="3060">
      <c r="A3060" s="56" t="s">
        <v>2352</v>
      </c>
      <c r="M3060" s="56"/>
    </row>
    <row r="3061">
      <c r="A3061" s="56" t="s">
        <v>2353</v>
      </c>
      <c r="M3061" s="56"/>
    </row>
    <row r="3062">
      <c r="A3062" s="56" t="s">
        <v>2354</v>
      </c>
      <c r="M3062" s="56"/>
    </row>
    <row r="3063">
      <c r="A3063" s="56" t="s">
        <v>3590</v>
      </c>
      <c r="M3063" s="56"/>
    </row>
    <row r="3064">
      <c r="A3064" s="56" t="s">
        <v>3591</v>
      </c>
      <c r="M3064" s="56"/>
    </row>
    <row r="3065">
      <c r="A3065" s="56" t="s">
        <v>3592</v>
      </c>
      <c r="M3065" s="56"/>
    </row>
    <row r="3066">
      <c r="A3066" s="56" t="s">
        <v>3593</v>
      </c>
      <c r="M3066" s="56"/>
    </row>
    <row r="3067">
      <c r="A3067" s="56" t="s">
        <v>3594</v>
      </c>
      <c r="M3067" s="56"/>
    </row>
    <row r="3068">
      <c r="A3068" s="56" t="s">
        <v>3595</v>
      </c>
      <c r="M3068" s="56"/>
    </row>
    <row r="3069">
      <c r="A3069" s="56" t="s">
        <v>3596</v>
      </c>
      <c r="M3069" s="56"/>
    </row>
    <row r="3070">
      <c r="A3070" s="56" t="s">
        <v>2080</v>
      </c>
      <c r="M3070" s="56"/>
    </row>
    <row r="3071">
      <c r="A3071" s="56" t="s">
        <v>2081</v>
      </c>
      <c r="M3071" s="56"/>
    </row>
    <row r="3072">
      <c r="M3072" s="56"/>
    </row>
    <row r="3073">
      <c r="A3073" s="56" t="s">
        <v>3597</v>
      </c>
      <c r="M3073" s="56"/>
    </row>
    <row r="3074">
      <c r="A3074" s="56" t="s">
        <v>3598</v>
      </c>
      <c r="M3074" s="56"/>
    </row>
    <row r="3075">
      <c r="M3075" s="56"/>
    </row>
    <row r="3076">
      <c r="A3076" s="56" t="s">
        <v>2364</v>
      </c>
      <c r="M3076" s="56"/>
    </row>
    <row r="3077">
      <c r="A3077" s="56" t="s">
        <v>2365</v>
      </c>
      <c r="M3077" s="56"/>
    </row>
    <row r="3078">
      <c r="A3078" s="56" t="s">
        <v>2366</v>
      </c>
      <c r="M3078" s="56"/>
    </row>
    <row r="3079">
      <c r="A3079" s="56" t="s">
        <v>2367</v>
      </c>
      <c r="M3079" s="56"/>
    </row>
    <row r="3080">
      <c r="A3080" s="56" t="s">
        <v>2368</v>
      </c>
      <c r="M3080" s="56"/>
    </row>
    <row r="3081">
      <c r="A3081" s="56" t="s">
        <v>1431</v>
      </c>
      <c r="M3081" s="56"/>
    </row>
    <row r="3082">
      <c r="A3082" s="56" t="s">
        <v>2370</v>
      </c>
      <c r="M3082" s="56"/>
    </row>
    <row r="3083">
      <c r="A3083" s="56" t="s">
        <v>1493</v>
      </c>
      <c r="M3083" s="56"/>
    </row>
    <row r="3084">
      <c r="A3084" s="56" t="s">
        <v>2371</v>
      </c>
      <c r="M3084" s="56"/>
    </row>
    <row r="3085">
      <c r="A3085" s="56" t="s">
        <v>3599</v>
      </c>
      <c r="M3085" s="56"/>
    </row>
    <row r="3086">
      <c r="A3086" s="56" t="s">
        <v>1431</v>
      </c>
      <c r="M3086" s="56"/>
    </row>
    <row r="3087">
      <c r="A3087" s="56" t="s">
        <v>3600</v>
      </c>
      <c r="M3087" s="56"/>
    </row>
    <row r="3088">
      <c r="A3088" s="56" t="s">
        <v>1431</v>
      </c>
      <c r="M3088" s="56"/>
    </row>
    <row r="3089">
      <c r="A3089" s="56" t="s">
        <v>3601</v>
      </c>
      <c r="M3089" s="56"/>
    </row>
    <row r="3090">
      <c r="A3090" s="56" t="s">
        <v>2378</v>
      </c>
      <c r="M3090" s="56"/>
    </row>
    <row r="3091">
      <c r="A3091" s="56" t="s">
        <v>3602</v>
      </c>
      <c r="M3091" s="56"/>
    </row>
    <row r="3092">
      <c r="A3092" s="56" t="s">
        <v>3603</v>
      </c>
      <c r="M3092" s="56"/>
    </row>
    <row r="3093">
      <c r="A3093" s="56" t="s">
        <v>2919</v>
      </c>
      <c r="M3093" s="56"/>
    </row>
    <row r="3094">
      <c r="A3094" s="56" t="s">
        <v>3604</v>
      </c>
      <c r="M3094" s="56"/>
    </row>
    <row r="3095">
      <c r="A3095" s="56" t="s">
        <v>3605</v>
      </c>
      <c r="M3095" s="56"/>
    </row>
    <row r="3096">
      <c r="A3096" s="56" t="s">
        <v>2919</v>
      </c>
      <c r="M3096" s="56"/>
    </row>
    <row r="3097">
      <c r="A3097" s="56" t="s">
        <v>2382</v>
      </c>
      <c r="M3097" s="56"/>
    </row>
    <row r="3098">
      <c r="A3098" s="56" t="s">
        <v>1431</v>
      </c>
      <c r="M3098" s="56"/>
    </row>
    <row r="3099">
      <c r="A3099" s="56" t="s">
        <v>2080</v>
      </c>
      <c r="M3099" s="56"/>
    </row>
    <row r="3100">
      <c r="A3100" s="56" t="s">
        <v>2081</v>
      </c>
      <c r="M3100" s="56"/>
    </row>
    <row r="3101">
      <c r="M3101" s="56"/>
    </row>
    <row r="3102">
      <c r="A3102" s="56" t="s">
        <v>2384</v>
      </c>
      <c r="M3102" s="56"/>
    </row>
    <row r="3103">
      <c r="M3103" s="56"/>
    </row>
    <row r="3104">
      <c r="A3104" s="56" t="s">
        <v>3546</v>
      </c>
      <c r="M3104" s="56"/>
    </row>
    <row r="3105">
      <c r="A3105" s="56" t="s">
        <v>2385</v>
      </c>
      <c r="M3105" s="56"/>
    </row>
    <row r="3106">
      <c r="A3106" s="56" t="s">
        <v>2221</v>
      </c>
      <c r="M3106" s="56"/>
    </row>
    <row r="3107">
      <c r="A3107" s="56" t="s">
        <v>2222</v>
      </c>
      <c r="M3107" s="56"/>
    </row>
    <row r="3108">
      <c r="A3108" s="56" t="s">
        <v>2386</v>
      </c>
      <c r="M3108" s="56"/>
    </row>
    <row r="3109">
      <c r="A3109" s="56" t="s">
        <v>2387</v>
      </c>
      <c r="M3109" s="56"/>
    </row>
    <row r="3110">
      <c r="A3110" s="56" t="s">
        <v>3606</v>
      </c>
      <c r="M3110" s="56"/>
    </row>
    <row r="3111">
      <c r="A3111" s="56" t="s">
        <v>2227</v>
      </c>
      <c r="M3111" s="56"/>
    </row>
    <row r="3112">
      <c r="A3112" s="56" t="s">
        <v>3607</v>
      </c>
      <c r="M3112" s="56"/>
    </row>
    <row r="3113">
      <c r="A3113" s="56" t="s">
        <v>3608</v>
      </c>
      <c r="M3113" s="56"/>
    </row>
    <row r="3114">
      <c r="A3114" s="56" t="s">
        <v>3609</v>
      </c>
      <c r="M3114" s="56"/>
    </row>
    <row r="3115">
      <c r="A3115" s="56" t="s">
        <v>2080</v>
      </c>
      <c r="M3115" s="56"/>
    </row>
    <row r="3116">
      <c r="A3116" s="56" t="s">
        <v>932</v>
      </c>
      <c r="M3116" s="56"/>
    </row>
    <row r="3117">
      <c r="M3117" s="56"/>
    </row>
    <row r="3118">
      <c r="A3118" s="56" t="s">
        <v>2392</v>
      </c>
      <c r="M3118" s="56"/>
    </row>
    <row r="3119">
      <c r="A3119" s="56" t="s">
        <v>2393</v>
      </c>
      <c r="M3119" s="56"/>
    </row>
    <row r="3120">
      <c r="A3120" s="56" t="s">
        <v>2394</v>
      </c>
      <c r="M3120" s="56"/>
    </row>
    <row r="3121">
      <c r="A3121" s="56" t="s">
        <v>2395</v>
      </c>
      <c r="M3121" s="56"/>
    </row>
    <row r="3122">
      <c r="A3122" s="56" t="s">
        <v>2396</v>
      </c>
      <c r="M3122" s="56"/>
    </row>
    <row r="3123">
      <c r="A3123" s="56" t="s">
        <v>2398</v>
      </c>
      <c r="M3123" s="56"/>
    </row>
    <row r="3124">
      <c r="A3124" s="56" t="s">
        <v>2399</v>
      </c>
      <c r="M3124" s="56"/>
    </row>
    <row r="3125">
      <c r="A3125" s="56" t="s">
        <v>2400</v>
      </c>
      <c r="M3125" s="56"/>
    </row>
    <row r="3126">
      <c r="A3126" s="56" t="s">
        <v>2401</v>
      </c>
      <c r="M3126" s="56"/>
    </row>
    <row r="3127">
      <c r="A3127" s="56" t="s">
        <v>932</v>
      </c>
      <c r="M3127" s="56"/>
    </row>
    <row r="3128">
      <c r="M3128" s="56"/>
    </row>
    <row r="3129">
      <c r="A3129" s="56" t="s">
        <v>3610</v>
      </c>
      <c r="M3129" s="56"/>
    </row>
    <row r="3130">
      <c r="M3130" s="56"/>
    </row>
    <row r="3131">
      <c r="A3131" s="56" t="s">
        <v>2322</v>
      </c>
      <c r="M3131" s="56"/>
    </row>
    <row r="3132">
      <c r="A3132" s="56" t="s">
        <v>2323</v>
      </c>
      <c r="M3132" s="56"/>
    </row>
    <row r="3133">
      <c r="A3133" s="56" t="s">
        <v>2324</v>
      </c>
      <c r="M3133" s="56"/>
    </row>
    <row r="3134">
      <c r="A3134" s="56" t="s">
        <v>932</v>
      </c>
      <c r="M3134" s="56"/>
    </row>
    <row r="3135">
      <c r="M3135" s="56"/>
    </row>
    <row r="3136">
      <c r="A3136" s="56" t="s">
        <v>1829</v>
      </c>
      <c r="M3136" s="56"/>
    </row>
    <row r="3137">
      <c r="A3137" s="56" t="s">
        <v>2404</v>
      </c>
      <c r="M3137" s="56"/>
    </row>
    <row r="3138">
      <c r="A3138" s="56" t="s">
        <v>1829</v>
      </c>
      <c r="M3138" s="56"/>
    </row>
    <row r="3139">
      <c r="A3139" s="56" t="s">
        <v>2405</v>
      </c>
      <c r="M3139" s="56"/>
    </row>
    <row r="3140">
      <c r="A3140" s="56" t="s">
        <v>2406</v>
      </c>
      <c r="M3140" s="56"/>
    </row>
    <row r="3141">
      <c r="A3141" s="56" t="s">
        <v>3611</v>
      </c>
      <c r="M3141" s="56"/>
    </row>
    <row r="3142">
      <c r="A3142" s="56" t="s">
        <v>3612</v>
      </c>
      <c r="M3142" s="56"/>
    </row>
    <row r="3143">
      <c r="A3143" s="56" t="s">
        <v>2410</v>
      </c>
      <c r="M3143" s="56"/>
    </row>
    <row r="3144">
      <c r="A3144" s="56" t="s">
        <v>2411</v>
      </c>
      <c r="M3144" s="56"/>
    </row>
    <row r="3145">
      <c r="A3145" s="56" t="s">
        <v>3613</v>
      </c>
      <c r="M3145" s="56"/>
    </row>
    <row r="3146">
      <c r="A3146" s="56" t="s">
        <v>2414</v>
      </c>
      <c r="M3146" s="56"/>
    </row>
    <row r="3147">
      <c r="A3147" s="56" t="s">
        <v>2415</v>
      </c>
      <c r="M3147" s="56"/>
    </row>
    <row r="3148">
      <c r="A3148" s="56" t="s">
        <v>2417</v>
      </c>
      <c r="M3148" s="56"/>
    </row>
    <row r="3149">
      <c r="A3149" s="56" t="s">
        <v>2418</v>
      </c>
      <c r="M3149" s="56"/>
    </row>
    <row r="3150">
      <c r="A3150" s="56" t="s">
        <v>2419</v>
      </c>
      <c r="M3150" s="56"/>
    </row>
    <row r="3151">
      <c r="A3151" s="56" t="s">
        <v>2421</v>
      </c>
      <c r="M3151" s="56"/>
    </row>
    <row r="3152">
      <c r="A3152" s="56" t="s">
        <v>3614</v>
      </c>
      <c r="M3152" s="56"/>
    </row>
    <row r="3153">
      <c r="A3153" s="56" t="s">
        <v>3615</v>
      </c>
      <c r="M3153" s="56"/>
    </row>
    <row r="3154">
      <c r="A3154" s="56" t="s">
        <v>3616</v>
      </c>
      <c r="M3154" s="56"/>
    </row>
    <row r="3155">
      <c r="A3155" s="56" t="s">
        <v>3617</v>
      </c>
      <c r="M3155" s="56"/>
    </row>
    <row r="3156">
      <c r="A3156" s="56" t="s">
        <v>3618</v>
      </c>
      <c r="M3156" s="56"/>
    </row>
    <row r="3157">
      <c r="A3157" s="56" t="s">
        <v>932</v>
      </c>
      <c r="M3157" s="56"/>
    </row>
    <row r="3158">
      <c r="A3158" s="56" t="s">
        <v>2422</v>
      </c>
      <c r="M3158" s="56"/>
    </row>
    <row r="3159">
      <c r="A3159" s="56" t="s">
        <v>2423</v>
      </c>
      <c r="M3159" s="56"/>
    </row>
    <row r="3160">
      <c r="A3160" s="56" t="s">
        <v>3619</v>
      </c>
      <c r="M3160" s="56"/>
    </row>
    <row r="3161">
      <c r="A3161" s="56" t="s">
        <v>2425</v>
      </c>
      <c r="M3161" s="56"/>
    </row>
    <row r="3162">
      <c r="A3162" s="56" t="s">
        <v>2426</v>
      </c>
      <c r="M3162" s="56"/>
    </row>
    <row r="3163">
      <c r="A3163" s="56" t="s">
        <v>2427</v>
      </c>
      <c r="M3163" s="56"/>
    </row>
    <row r="3164">
      <c r="A3164" s="56" t="s">
        <v>3620</v>
      </c>
      <c r="M3164" s="56"/>
    </row>
    <row r="3165">
      <c r="A3165" s="56" t="s">
        <v>3621</v>
      </c>
      <c r="M3165" s="56"/>
    </row>
    <row r="3166">
      <c r="A3166" s="56" t="s">
        <v>3622</v>
      </c>
      <c r="M3166" s="56"/>
    </row>
    <row r="3167">
      <c r="A3167" s="56" t="s">
        <v>3623</v>
      </c>
      <c r="M3167" s="56"/>
    </row>
    <row r="3168">
      <c r="A3168" s="56" t="s">
        <v>932</v>
      </c>
      <c r="M3168" s="56"/>
    </row>
    <row r="3169">
      <c r="A3169" s="56" t="s">
        <v>2431</v>
      </c>
      <c r="M3169" s="56"/>
    </row>
    <row r="3170">
      <c r="A3170" s="56" t="s">
        <v>2432</v>
      </c>
      <c r="M3170" s="56"/>
    </row>
    <row r="3171">
      <c r="A3171" s="56" t="s">
        <v>2434</v>
      </c>
      <c r="M3171" s="56"/>
    </row>
    <row r="3172">
      <c r="A3172" s="56" t="s">
        <v>2435</v>
      </c>
      <c r="M3172" s="56"/>
    </row>
    <row r="3173">
      <c r="A3173" s="56" t="s">
        <v>3624</v>
      </c>
      <c r="M3173" s="56"/>
    </row>
    <row r="3174">
      <c r="A3174" s="56" t="s">
        <v>2438</v>
      </c>
      <c r="M3174" s="56"/>
    </row>
    <row r="3175">
      <c r="A3175" s="56" t="s">
        <v>932</v>
      </c>
      <c r="M3175" s="56"/>
    </row>
    <row r="3176">
      <c r="A3176" s="56" t="s">
        <v>2439</v>
      </c>
      <c r="M3176" s="56"/>
    </row>
    <row r="3177">
      <c r="A3177" s="56" t="s">
        <v>2440</v>
      </c>
      <c r="M3177" s="56"/>
    </row>
    <row r="3178">
      <c r="A3178" s="56" t="s">
        <v>2441</v>
      </c>
      <c r="M3178" s="56"/>
    </row>
    <row r="3179">
      <c r="A3179" s="56" t="s">
        <v>2442</v>
      </c>
      <c r="M3179" s="56"/>
    </row>
    <row r="3180">
      <c r="A3180" s="56" t="s">
        <v>2444</v>
      </c>
      <c r="M3180" s="56"/>
    </row>
    <row r="3181">
      <c r="A3181" s="56" t="s">
        <v>2445</v>
      </c>
      <c r="M3181" s="56"/>
    </row>
    <row r="3182">
      <c r="A3182" s="56" t="s">
        <v>3625</v>
      </c>
      <c r="M3182" s="56"/>
    </row>
    <row r="3183">
      <c r="A3183" s="56" t="s">
        <v>2447</v>
      </c>
      <c r="M3183" s="56"/>
    </row>
    <row r="3184">
      <c r="A3184" s="56" t="s">
        <v>3626</v>
      </c>
      <c r="M3184" s="56"/>
    </row>
    <row r="3185">
      <c r="A3185" s="56" t="s">
        <v>3627</v>
      </c>
      <c r="M3185" s="56"/>
    </row>
    <row r="3186">
      <c r="A3186" s="56" t="s">
        <v>3628</v>
      </c>
      <c r="M3186" s="56"/>
    </row>
    <row r="3187">
      <c r="A3187" s="56" t="s">
        <v>3629</v>
      </c>
      <c r="M3187" s="56"/>
    </row>
    <row r="3188">
      <c r="A3188" s="56" t="s">
        <v>3630</v>
      </c>
      <c r="M3188" s="56"/>
    </row>
    <row r="3189">
      <c r="A3189" s="56" t="s">
        <v>2217</v>
      </c>
      <c r="M3189" s="56"/>
    </row>
    <row r="3190">
      <c r="A3190" s="56" t="s">
        <v>2081</v>
      </c>
      <c r="M3190" s="56"/>
    </row>
    <row r="3191">
      <c r="A3191" s="56" t="s">
        <v>2454</v>
      </c>
      <c r="M3191" s="56"/>
    </row>
    <row r="3192">
      <c r="A3192" s="56" t="s">
        <v>3631</v>
      </c>
      <c r="M3192" s="56"/>
    </row>
    <row r="3193">
      <c r="A3193" s="56" t="s">
        <v>3632</v>
      </c>
      <c r="M3193" s="56"/>
    </row>
    <row r="3194">
      <c r="A3194" s="56" t="s">
        <v>3633</v>
      </c>
      <c r="M3194" s="56"/>
    </row>
    <row r="3195">
      <c r="A3195" s="56" t="s">
        <v>932</v>
      </c>
      <c r="M3195" s="56"/>
    </row>
    <row r="3196">
      <c r="A3196" s="56" t="s">
        <v>2462</v>
      </c>
      <c r="M3196" s="56"/>
    </row>
    <row r="3197">
      <c r="A3197" s="56" t="s">
        <v>2464</v>
      </c>
      <c r="M3197" s="56"/>
    </row>
    <row r="3198">
      <c r="A3198" s="56" t="s">
        <v>2465</v>
      </c>
      <c r="M3198" s="56"/>
    </row>
    <row r="3199">
      <c r="A3199" s="56" t="s">
        <v>2466</v>
      </c>
      <c r="M3199" s="56"/>
    </row>
    <row r="3200">
      <c r="A3200" s="56" t="s">
        <v>2468</v>
      </c>
      <c r="M3200" s="56"/>
    </row>
    <row r="3201">
      <c r="A3201" s="56" t="s">
        <v>2469</v>
      </c>
      <c r="M3201" s="56"/>
    </row>
    <row r="3202">
      <c r="A3202" s="56" t="s">
        <v>932</v>
      </c>
      <c r="M3202" s="56"/>
    </row>
    <row r="3203">
      <c r="A3203" s="56" t="s">
        <v>2471</v>
      </c>
      <c r="M3203" s="56"/>
    </row>
    <row r="3204">
      <c r="A3204" s="56" t="s">
        <v>3634</v>
      </c>
      <c r="M3204" s="56"/>
    </row>
    <row r="3205">
      <c r="A3205" s="56" t="s">
        <v>3635</v>
      </c>
      <c r="M3205" s="56"/>
    </row>
    <row r="3206">
      <c r="A3206" s="56" t="s">
        <v>2474</v>
      </c>
      <c r="M3206" s="56"/>
    </row>
    <row r="3207">
      <c r="A3207" s="56" t="s">
        <v>3636</v>
      </c>
      <c r="M3207" s="56"/>
    </row>
    <row r="3208">
      <c r="A3208" s="56" t="s">
        <v>3637</v>
      </c>
      <c r="M3208" s="56"/>
    </row>
    <row r="3209">
      <c r="A3209" s="56" t="s">
        <v>3638</v>
      </c>
      <c r="M3209" s="56"/>
    </row>
    <row r="3210">
      <c r="A3210" s="56" t="s">
        <v>932</v>
      </c>
      <c r="M3210" s="56"/>
    </row>
    <row r="3211">
      <c r="A3211" s="56" t="s">
        <v>2480</v>
      </c>
      <c r="M3211" s="56"/>
    </row>
    <row r="3212">
      <c r="A3212" s="56" t="s">
        <v>2440</v>
      </c>
      <c r="M3212" s="56"/>
    </row>
    <row r="3213">
      <c r="A3213" s="56" t="s">
        <v>2482</v>
      </c>
      <c r="M3213" s="56"/>
    </row>
    <row r="3214">
      <c r="A3214" s="56" t="s">
        <v>2483</v>
      </c>
      <c r="M3214" s="56"/>
    </row>
    <row r="3215">
      <c r="A3215" s="56" t="s">
        <v>3639</v>
      </c>
      <c r="M3215" s="56"/>
    </row>
    <row r="3216">
      <c r="A3216" s="56" t="s">
        <v>3640</v>
      </c>
      <c r="M3216" s="56"/>
    </row>
    <row r="3217">
      <c r="A3217" s="56" t="s">
        <v>932</v>
      </c>
      <c r="M3217" s="56"/>
    </row>
    <row r="3218">
      <c r="A3218" s="56" t="s">
        <v>2487</v>
      </c>
      <c r="M3218" s="56"/>
    </row>
    <row r="3219">
      <c r="A3219" s="56" t="s">
        <v>2488</v>
      </c>
      <c r="M3219" s="56"/>
    </row>
    <row r="3220">
      <c r="A3220" s="56" t="s">
        <v>2490</v>
      </c>
      <c r="M3220" s="56"/>
    </row>
    <row r="3221">
      <c r="A3221" s="56" t="s">
        <v>3641</v>
      </c>
      <c r="M3221" s="56"/>
    </row>
    <row r="3222">
      <c r="A3222" s="56" t="s">
        <v>932</v>
      </c>
      <c r="M3222" s="56"/>
    </row>
    <row r="3223">
      <c r="A3223" s="56" t="s">
        <v>2492</v>
      </c>
      <c r="M3223" s="56"/>
    </row>
    <row r="3224">
      <c r="A3224" s="56" t="s">
        <v>2493</v>
      </c>
      <c r="M3224" s="56"/>
    </row>
    <row r="3225">
      <c r="A3225" s="56" t="s">
        <v>3642</v>
      </c>
      <c r="M3225" s="56"/>
    </row>
    <row r="3226">
      <c r="A3226" s="56" t="s">
        <v>2495</v>
      </c>
      <c r="M3226" s="56"/>
    </row>
    <row r="3227">
      <c r="A3227" s="56" t="s">
        <v>3643</v>
      </c>
      <c r="M3227" s="56"/>
    </row>
    <row r="3228">
      <c r="A3228" s="56" t="s">
        <v>2499</v>
      </c>
      <c r="M3228" s="56"/>
    </row>
    <row r="3229">
      <c r="A3229" s="56" t="s">
        <v>3644</v>
      </c>
      <c r="M3229" s="56"/>
    </row>
    <row r="3230">
      <c r="A3230" s="56" t="s">
        <v>3645</v>
      </c>
      <c r="M3230" s="56"/>
    </row>
    <row r="3231">
      <c r="A3231" s="56" t="s">
        <v>3646</v>
      </c>
      <c r="M3231" s="56"/>
    </row>
    <row r="3232">
      <c r="A3232" s="56" t="s">
        <v>1929</v>
      </c>
      <c r="M3232" s="56"/>
    </row>
    <row r="3233">
      <c r="A3233" s="56" t="s">
        <v>3647</v>
      </c>
      <c r="M3233" s="56"/>
    </row>
    <row r="3234">
      <c r="A3234" s="56" t="s">
        <v>3648</v>
      </c>
      <c r="M3234" s="56"/>
    </row>
    <row r="3235">
      <c r="A3235" s="56" t="s">
        <v>2518</v>
      </c>
      <c r="M3235" s="56"/>
    </row>
    <row r="3236">
      <c r="A3236" s="56" t="s">
        <v>3649</v>
      </c>
      <c r="M3236" s="56"/>
    </row>
    <row r="3237">
      <c r="A3237" s="56" t="s">
        <v>3650</v>
      </c>
      <c r="M3237" s="56"/>
    </row>
    <row r="3238">
      <c r="A3238" s="56" t="s">
        <v>3651</v>
      </c>
      <c r="M3238" s="56"/>
    </row>
    <row r="3239">
      <c r="A3239" s="56" t="s">
        <v>2523</v>
      </c>
      <c r="M3239" s="56"/>
    </row>
    <row r="3240">
      <c r="A3240" s="56" t="s">
        <v>932</v>
      </c>
      <c r="M3240" s="56"/>
    </row>
    <row r="3241">
      <c r="A3241" s="56" t="s">
        <v>3652</v>
      </c>
      <c r="M3241" s="56"/>
    </row>
    <row r="3242">
      <c r="M3242" s="56"/>
    </row>
    <row r="3243">
      <c r="A3243" s="56" t="s">
        <v>1829</v>
      </c>
      <c r="M3243" s="56"/>
    </row>
    <row r="3244">
      <c r="A3244" s="56" t="s">
        <v>2528</v>
      </c>
      <c r="M3244" s="56"/>
    </row>
    <row r="3245">
      <c r="A3245" s="56" t="s">
        <v>1829</v>
      </c>
      <c r="M3245" s="56"/>
    </row>
    <row r="3246">
      <c r="A3246" s="56" t="s">
        <v>2530</v>
      </c>
      <c r="M3246" s="56"/>
    </row>
    <row r="3247">
      <c r="A3247" s="56" t="s">
        <v>2531</v>
      </c>
      <c r="M3247" s="56"/>
    </row>
    <row r="3248">
      <c r="A3248" s="56" t="s">
        <v>2533</v>
      </c>
      <c r="M3248" s="56"/>
    </row>
    <row r="3249">
      <c r="A3249" s="56" t="s">
        <v>2535</v>
      </c>
      <c r="M3249" s="56"/>
    </row>
    <row r="3250">
      <c r="A3250" s="56" t="s">
        <v>3653</v>
      </c>
      <c r="M3250" s="56"/>
    </row>
    <row r="3251">
      <c r="A3251" s="56" t="s">
        <v>932</v>
      </c>
      <c r="M3251" s="56"/>
    </row>
    <row r="3252">
      <c r="A3252" s="56" t="s">
        <v>2538</v>
      </c>
      <c r="M3252" s="56"/>
    </row>
    <row r="3253">
      <c r="A3253" s="56" t="s">
        <v>2539</v>
      </c>
      <c r="M3253" s="56"/>
    </row>
    <row r="3254">
      <c r="A3254" s="56" t="s">
        <v>2540</v>
      </c>
      <c r="M3254" s="56"/>
    </row>
    <row r="3255">
      <c r="A3255" s="56" t="s">
        <v>932</v>
      </c>
      <c r="M3255" s="56"/>
    </row>
    <row r="3256">
      <c r="A3256" s="56" t="s">
        <v>932</v>
      </c>
      <c r="M3256" s="56"/>
    </row>
    <row r="3257">
      <c r="A3257" s="56" t="s">
        <v>2542</v>
      </c>
      <c r="M3257" s="56"/>
    </row>
    <row r="3258">
      <c r="A3258" s="56" t="s">
        <v>2544</v>
      </c>
      <c r="M3258" s="56"/>
    </row>
    <row r="3259">
      <c r="A3259" s="56" t="s">
        <v>3654</v>
      </c>
      <c r="M3259" s="56"/>
    </row>
    <row r="3260">
      <c r="A3260" s="56" t="s">
        <v>2546</v>
      </c>
      <c r="M3260" s="56"/>
    </row>
    <row r="3261">
      <c r="A3261" s="56" t="s">
        <v>2547</v>
      </c>
      <c r="M3261" s="56"/>
    </row>
    <row r="3262">
      <c r="A3262" s="56" t="s">
        <v>932</v>
      </c>
      <c r="M3262" s="56"/>
    </row>
    <row r="3263">
      <c r="A3263" s="56" t="s">
        <v>2550</v>
      </c>
      <c r="M3263" s="56"/>
    </row>
    <row r="3264">
      <c r="A3264" s="56" t="s">
        <v>2551</v>
      </c>
      <c r="M3264" s="56"/>
    </row>
    <row r="3265">
      <c r="A3265" s="56" t="s">
        <v>2552</v>
      </c>
      <c r="M3265" s="56"/>
    </row>
    <row r="3266">
      <c r="A3266" s="56" t="s">
        <v>2554</v>
      </c>
      <c r="M3266" s="56"/>
    </row>
    <row r="3267">
      <c r="A3267" s="56" t="s">
        <v>2488</v>
      </c>
      <c r="M3267" s="56"/>
    </row>
    <row r="3268">
      <c r="A3268" s="56" t="s">
        <v>2555</v>
      </c>
      <c r="M3268" s="56"/>
    </row>
    <row r="3269">
      <c r="A3269" s="56" t="s">
        <v>2556</v>
      </c>
      <c r="M3269" s="56"/>
    </row>
    <row r="3270">
      <c r="A3270" s="56" t="s">
        <v>3655</v>
      </c>
      <c r="M3270" s="56"/>
    </row>
    <row r="3271">
      <c r="A3271" s="56" t="s">
        <v>2559</v>
      </c>
      <c r="M3271" s="56"/>
    </row>
    <row r="3272">
      <c r="A3272" s="56" t="s">
        <v>3656</v>
      </c>
      <c r="M3272" s="56"/>
    </row>
    <row r="3273">
      <c r="A3273" s="56" t="s">
        <v>932</v>
      </c>
      <c r="M3273" s="56"/>
    </row>
    <row r="3274">
      <c r="A3274" s="56" t="s">
        <v>2562</v>
      </c>
      <c r="M3274" s="56"/>
    </row>
    <row r="3275">
      <c r="A3275" s="56" t="s">
        <v>2564</v>
      </c>
      <c r="M3275" s="56"/>
    </row>
    <row r="3276">
      <c r="A3276" s="56" t="s">
        <v>2566</v>
      </c>
      <c r="M3276" s="56"/>
    </row>
    <row r="3277">
      <c r="A3277" s="56" t="s">
        <v>2567</v>
      </c>
      <c r="M3277" s="56"/>
    </row>
    <row r="3278">
      <c r="A3278" s="56" t="s">
        <v>2568</v>
      </c>
      <c r="M3278" s="56"/>
    </row>
    <row r="3279">
      <c r="A3279" s="56" t="s">
        <v>2547</v>
      </c>
      <c r="M3279" s="56"/>
    </row>
    <row r="3280">
      <c r="A3280" s="56" t="s">
        <v>932</v>
      </c>
      <c r="M3280" s="56"/>
    </row>
    <row r="3281">
      <c r="A3281" s="56" t="s">
        <v>2569</v>
      </c>
      <c r="M3281" s="56"/>
    </row>
    <row r="3282">
      <c r="A3282" s="56" t="s">
        <v>2552</v>
      </c>
      <c r="M3282" s="56"/>
    </row>
    <row r="3283">
      <c r="A3283" s="56" t="s">
        <v>2554</v>
      </c>
      <c r="M3283" s="56"/>
    </row>
    <row r="3284">
      <c r="A3284" s="56" t="s">
        <v>2572</v>
      </c>
      <c r="M3284" s="56"/>
    </row>
    <row r="3285">
      <c r="A3285" s="56" t="s">
        <v>3657</v>
      </c>
      <c r="M3285" s="56"/>
    </row>
    <row r="3286">
      <c r="A3286" s="56" t="s">
        <v>3658</v>
      </c>
      <c r="M3286" s="56"/>
    </row>
    <row r="3287">
      <c r="A3287" s="56" t="s">
        <v>2576</v>
      </c>
      <c r="M3287" s="56"/>
    </row>
    <row r="3288">
      <c r="A3288" s="56" t="s">
        <v>3659</v>
      </c>
      <c r="M3288" s="56"/>
    </row>
    <row r="3289">
      <c r="A3289" s="56" t="s">
        <v>1929</v>
      </c>
      <c r="M3289" s="56"/>
    </row>
    <row r="3290">
      <c r="A3290" s="56" t="s">
        <v>3660</v>
      </c>
      <c r="M3290" s="56"/>
    </row>
    <row r="3291">
      <c r="A3291" s="56" t="s">
        <v>3661</v>
      </c>
      <c r="M3291" s="56"/>
    </row>
    <row r="3292">
      <c r="A3292" s="56" t="s">
        <v>3650</v>
      </c>
      <c r="M3292" s="56"/>
    </row>
    <row r="3293">
      <c r="A3293" s="56" t="s">
        <v>3662</v>
      </c>
      <c r="M3293" s="56"/>
    </row>
    <row r="3294">
      <c r="A3294" s="56" t="s">
        <v>2585</v>
      </c>
      <c r="M3294" s="56"/>
    </row>
    <row r="3295">
      <c r="A3295" s="56" t="s">
        <v>932</v>
      </c>
      <c r="M3295" s="56"/>
    </row>
    <row r="3296">
      <c r="M3296" s="56"/>
    </row>
    <row r="3297">
      <c r="A3297" s="56" t="s">
        <v>1829</v>
      </c>
      <c r="M3297" s="56"/>
    </row>
    <row r="3298">
      <c r="A3298" s="56" t="s">
        <v>2586</v>
      </c>
      <c r="M3298" s="56"/>
    </row>
    <row r="3299">
      <c r="A3299" s="56" t="s">
        <v>1829</v>
      </c>
      <c r="M3299" s="56"/>
    </row>
    <row r="3300">
      <c r="A3300" s="56" t="s">
        <v>2588</v>
      </c>
      <c r="M3300" s="56"/>
    </row>
    <row r="3301">
      <c r="A3301" s="56" t="s">
        <v>1929</v>
      </c>
      <c r="M3301" s="56"/>
    </row>
    <row r="3302">
      <c r="A3302" s="56" t="s">
        <v>2591</v>
      </c>
      <c r="M3302" s="56"/>
    </row>
    <row r="3303">
      <c r="A3303" s="56" t="s">
        <v>3663</v>
      </c>
      <c r="M3303" s="56"/>
    </row>
    <row r="3304">
      <c r="A3304" s="56" t="s">
        <v>2594</v>
      </c>
      <c r="M3304" s="56"/>
    </row>
    <row r="3305">
      <c r="A3305" s="56" t="s">
        <v>3664</v>
      </c>
      <c r="M3305" s="56"/>
    </row>
    <row r="3306">
      <c r="A3306" s="56" t="s">
        <v>2596</v>
      </c>
      <c r="M3306" s="56"/>
    </row>
    <row r="3307">
      <c r="A3307" s="56" t="s">
        <v>3665</v>
      </c>
      <c r="M3307" s="56"/>
    </row>
    <row r="3308">
      <c r="A3308" s="56" t="s">
        <v>3666</v>
      </c>
      <c r="M3308" s="56"/>
    </row>
    <row r="3309">
      <c r="A3309" s="56" t="s">
        <v>3667</v>
      </c>
      <c r="M3309" s="56"/>
    </row>
    <row r="3310">
      <c r="A3310" s="56" t="s">
        <v>3668</v>
      </c>
      <c r="M3310" s="56"/>
    </row>
    <row r="3311">
      <c r="A3311" s="56" t="s">
        <v>2602</v>
      </c>
      <c r="M3311" s="56"/>
    </row>
    <row r="3312">
      <c r="A3312" s="56" t="s">
        <v>3669</v>
      </c>
      <c r="M3312" s="56"/>
    </row>
    <row r="3313">
      <c r="A3313" s="56" t="s">
        <v>3670</v>
      </c>
      <c r="M3313" s="56"/>
    </row>
    <row r="3314">
      <c r="A3314" s="56" t="s">
        <v>3671</v>
      </c>
      <c r="M3314" s="56"/>
    </row>
    <row r="3315">
      <c r="A3315" s="56" t="s">
        <v>2605</v>
      </c>
      <c r="M3315" s="56"/>
    </row>
    <row r="3316">
      <c r="A3316" s="56" t="s">
        <v>1946</v>
      </c>
      <c r="M3316" s="56"/>
    </row>
    <row r="3317">
      <c r="A3317" s="56" t="s">
        <v>3672</v>
      </c>
      <c r="M3317" s="56"/>
    </row>
    <row r="3318">
      <c r="A3318" s="56" t="s">
        <v>2608</v>
      </c>
      <c r="M3318" s="56"/>
    </row>
    <row r="3319">
      <c r="A3319" s="56" t="s">
        <v>932</v>
      </c>
      <c r="M3319" s="56"/>
    </row>
    <row r="3320">
      <c r="M3320" s="56"/>
    </row>
    <row r="3321">
      <c r="A3321" s="56" t="s">
        <v>1829</v>
      </c>
      <c r="M3321" s="56"/>
    </row>
    <row r="3322">
      <c r="A3322" s="56" t="s">
        <v>2609</v>
      </c>
      <c r="M3322" s="56"/>
    </row>
    <row r="3323">
      <c r="A3323" s="56" t="s">
        <v>1829</v>
      </c>
      <c r="M3323" s="56"/>
    </row>
    <row r="3324">
      <c r="A3324" s="56" t="s">
        <v>2611</v>
      </c>
      <c r="M3324" s="56"/>
    </row>
    <row r="3325">
      <c r="A3325" s="56" t="s">
        <v>1929</v>
      </c>
      <c r="M3325" s="56"/>
    </row>
    <row r="3326">
      <c r="A3326" s="56" t="s">
        <v>2612</v>
      </c>
      <c r="M3326" s="56"/>
    </row>
    <row r="3327">
      <c r="A3327" s="56" t="s">
        <v>2613</v>
      </c>
      <c r="M3327" s="56"/>
    </row>
    <row r="3328">
      <c r="A3328" s="56" t="s">
        <v>2614</v>
      </c>
      <c r="M3328" s="56"/>
    </row>
    <row r="3329">
      <c r="A3329" s="56" t="s">
        <v>3673</v>
      </c>
      <c r="M3329" s="56"/>
    </row>
    <row r="3330">
      <c r="A3330" s="56" t="s">
        <v>1946</v>
      </c>
      <c r="M3330" s="56"/>
    </row>
    <row r="3331">
      <c r="A3331" s="56" t="s">
        <v>2617</v>
      </c>
      <c r="M3331" s="56"/>
    </row>
    <row r="3332">
      <c r="A3332" s="56" t="s">
        <v>932</v>
      </c>
      <c r="M3332" s="56"/>
    </row>
    <row r="3333">
      <c r="M3333" s="56"/>
    </row>
    <row r="3334">
      <c r="A3334" s="56" t="s">
        <v>2618</v>
      </c>
      <c r="M3334" s="56"/>
    </row>
    <row r="3335">
      <c r="A3335" s="56" t="s">
        <v>2619</v>
      </c>
      <c r="M3335" s="56"/>
    </row>
    <row r="3336">
      <c r="A3336" s="56" t="s">
        <v>2620</v>
      </c>
      <c r="M3336" s="56"/>
    </row>
    <row r="3337">
      <c r="A3337" s="56" t="s">
        <v>2621</v>
      </c>
      <c r="M3337" s="56"/>
    </row>
    <row r="3338">
      <c r="A3338" s="56" t="s">
        <v>2623</v>
      </c>
      <c r="M3338" s="56"/>
    </row>
    <row r="3339">
      <c r="A3339" s="56" t="s">
        <v>2624</v>
      </c>
      <c r="M3339" s="56"/>
    </row>
    <row r="3340">
      <c r="A3340" s="56" t="s">
        <v>2625</v>
      </c>
      <c r="M3340" s="56"/>
    </row>
    <row r="3341">
      <c r="A3341" s="56" t="s">
        <v>932</v>
      </c>
      <c r="M3341" s="56"/>
    </row>
    <row r="3342">
      <c r="M3342" s="56"/>
    </row>
    <row r="3343">
      <c r="A3343" s="56" t="s">
        <v>2626</v>
      </c>
      <c r="M3343" s="56"/>
    </row>
    <row r="3344">
      <c r="A3344" s="56" t="s">
        <v>2627</v>
      </c>
      <c r="M3344" s="56"/>
    </row>
    <row r="3345">
      <c r="A3345" s="56" t="s">
        <v>2628</v>
      </c>
      <c r="M3345" s="56"/>
    </row>
    <row r="3346">
      <c r="M3346" s="56"/>
    </row>
    <row r="3347">
      <c r="A3347" s="56" t="s">
        <v>3674</v>
      </c>
      <c r="M3347" s="56"/>
    </row>
    <row r="3348">
      <c r="A3348" s="56" t="s">
        <v>2630</v>
      </c>
      <c r="M3348" s="56"/>
    </row>
    <row r="3349">
      <c r="A3349" s="56" t="s">
        <v>2631</v>
      </c>
      <c r="M3349" s="56"/>
    </row>
    <row r="3350">
      <c r="A3350" s="64" t="s">
        <v>3675</v>
      </c>
      <c r="M3350" s="56"/>
    </row>
    <row r="3351">
      <c r="A3351" s="69" t="str">
        <f>+'&lt;div class="kpi amber"&gt;&lt;div class="kpi-label"&gt;Total Sold&lt;/div&gt;&lt;div class="kpi-value"&gt;'+(t.sold||0).toLocaleString()+'&lt;/div&gt;&lt;div class="kpi-sub"&gt;excluding cancelled orders&lt;/div&gt;&lt;/div&gt;'</f>
        <v>#ERROR!</v>
      </c>
      <c r="M3351" s="56"/>
    </row>
    <row r="3352">
      <c r="A3352" s="69" t="str">
        <f>+'&lt;div class="kpi green"&gt;&lt;div class="kpi-label"&gt;Total In Hand&lt;/div&gt;&lt;div class="kpi-value"&gt;'+(t.in_hand||0).toLocaleString()+'&lt;/div&gt;&lt;div class="kpi-sub"&gt;currently in stock&lt;/div&gt;&lt;/div&gt;'</f>
        <v>#ERROR!</v>
      </c>
      <c r="M3352" s="56"/>
    </row>
    <row r="3353">
      <c r="A3353" s="69" t="str">
        <f>+'&lt;div class="kpi blue"&gt;&lt;div class="kpi-label"&gt;Sell-Through&lt;/div&gt;&lt;div class="kpi-value"&gt;'+(t.sell_through||0)+'%&lt;/div&gt;&lt;div class="kpi-sub"&gt;overall sold ÷ made&lt;/div&gt;&lt;/div&gt;';</f>
        <v>#ERROR!</v>
      </c>
      <c r="M3353" s="56"/>
    </row>
    <row r="3354">
      <c r="M3354" s="56"/>
    </row>
    <row r="3355">
      <c r="A3355" s="56" t="s">
        <v>3676</v>
      </c>
      <c r="M3355" s="56"/>
    </row>
    <row r="3356">
      <c r="A3356" s="56" t="s">
        <v>2637</v>
      </c>
      <c r="M3356" s="56"/>
    </row>
    <row r="3357">
      <c r="A3357" s="56" t="s">
        <v>2639</v>
      </c>
      <c r="M3357" s="56"/>
    </row>
    <row r="3358">
      <c r="A3358" s="56" t="s">
        <v>2640</v>
      </c>
      <c r="M3358" s="56"/>
    </row>
    <row r="3359">
      <c r="A3359" s="56" t="s">
        <v>2641</v>
      </c>
      <c r="M3359" s="56"/>
    </row>
    <row r="3360">
      <c r="A3360" s="56" t="s">
        <v>2643</v>
      </c>
      <c r="M3360" s="56"/>
    </row>
    <row r="3361">
      <c r="A3361" s="56" t="s">
        <v>2644</v>
      </c>
      <c r="M3361" s="56"/>
    </row>
    <row r="3362">
      <c r="A3362" s="56" t="s">
        <v>1910</v>
      </c>
      <c r="M3362" s="56"/>
    </row>
    <row r="3363">
      <c r="A3363" s="56" t="s">
        <v>932</v>
      </c>
      <c r="M3363" s="56"/>
    </row>
    <row r="3364">
      <c r="A3364" s="56" t="s">
        <v>2646</v>
      </c>
      <c r="M3364" s="56"/>
    </row>
    <row r="3365">
      <c r="A3365" s="56" t="s">
        <v>2647</v>
      </c>
      <c r="M3365" s="56"/>
    </row>
    <row r="3366">
      <c r="A3366" s="56" t="s">
        <v>2649</v>
      </c>
      <c r="M3366" s="56"/>
    </row>
    <row r="3367">
      <c r="A3367" s="56" t="s">
        <v>2650</v>
      </c>
      <c r="M3367" s="56"/>
    </row>
    <row r="3368">
      <c r="A3368" s="56" t="s">
        <v>2651</v>
      </c>
      <c r="M3368" s="56"/>
    </row>
    <row r="3369">
      <c r="A3369" s="56" t="s">
        <v>2652</v>
      </c>
      <c r="M3369" s="56"/>
    </row>
    <row r="3370">
      <c r="A3370" s="56" t="s">
        <v>1910</v>
      </c>
      <c r="M3370" s="56"/>
    </row>
    <row r="3371">
      <c r="M3371" s="56"/>
    </row>
    <row r="3372">
      <c r="A3372" s="56" t="s">
        <v>3677</v>
      </c>
      <c r="M3372" s="56"/>
    </row>
    <row r="3373">
      <c r="A3373" s="56" t="s">
        <v>2654</v>
      </c>
      <c r="M3373" s="56"/>
    </row>
    <row r="3374">
      <c r="A3374" s="56" t="s">
        <v>2655</v>
      </c>
      <c r="M3374" s="56"/>
    </row>
    <row r="3375">
      <c r="A3375" s="56" t="s">
        <v>2656</v>
      </c>
      <c r="M3375" s="56"/>
    </row>
    <row r="3376">
      <c r="A3376" s="56" t="s">
        <v>2657</v>
      </c>
      <c r="M3376" s="56"/>
    </row>
    <row r="3377">
      <c r="A3377" s="56" t="s">
        <v>3678</v>
      </c>
      <c r="M3377" s="56"/>
    </row>
    <row r="3378">
      <c r="A3378" s="56" t="s">
        <v>2659</v>
      </c>
      <c r="M3378" s="56"/>
    </row>
    <row r="3379">
      <c r="A3379" s="56" t="s">
        <v>2661</v>
      </c>
      <c r="M3379" s="56"/>
    </row>
    <row r="3380">
      <c r="A3380" s="56" t="s">
        <v>2663</v>
      </c>
      <c r="M3380" s="56"/>
    </row>
    <row r="3381">
      <c r="A3381" s="56" t="s">
        <v>2665</v>
      </c>
      <c r="M3381" s="56"/>
    </row>
    <row r="3382">
      <c r="A3382" s="56" t="s">
        <v>2667</v>
      </c>
      <c r="M3382" s="56"/>
    </row>
    <row r="3383">
      <c r="M3383" s="56"/>
    </row>
    <row r="3384">
      <c r="A3384" s="56" t="s">
        <v>3679</v>
      </c>
      <c r="M3384" s="56"/>
    </row>
    <row r="3385">
      <c r="A3385" s="56" t="s">
        <v>2668</v>
      </c>
      <c r="M3385" s="56"/>
    </row>
    <row r="3386">
      <c r="A3386" s="56" t="s">
        <v>2669</v>
      </c>
      <c r="M3386" s="56"/>
    </row>
    <row r="3387">
      <c r="A3387" s="56" t="s">
        <v>2186</v>
      </c>
      <c r="M3387" s="56"/>
    </row>
    <row r="3388">
      <c r="A3388" s="56" t="s">
        <v>3680</v>
      </c>
      <c r="M3388" s="56"/>
    </row>
    <row r="3389">
      <c r="A3389" s="56" t="s">
        <v>2671</v>
      </c>
      <c r="M3389" s="56"/>
    </row>
    <row r="3390">
      <c r="A3390" s="56" t="s">
        <v>2005</v>
      </c>
      <c r="M3390" s="56"/>
    </row>
    <row r="3391">
      <c r="A3391" s="56" t="s">
        <v>932</v>
      </c>
      <c r="M3391" s="56"/>
    </row>
    <row r="3392">
      <c r="M3392" s="56"/>
    </row>
    <row r="3393">
      <c r="A3393" s="56" t="s">
        <v>3681</v>
      </c>
      <c r="M3393" s="56"/>
    </row>
    <row r="3394">
      <c r="A3394" s="56" t="s">
        <v>3581</v>
      </c>
      <c r="M3394" s="56"/>
    </row>
    <row r="3395">
      <c r="A3395" s="56" t="s">
        <v>3582</v>
      </c>
      <c r="M3395" s="56"/>
    </row>
    <row r="3396">
      <c r="A3396" s="56" t="s">
        <v>3682</v>
      </c>
      <c r="M3396" s="56"/>
    </row>
    <row r="3397">
      <c r="A3397" s="56" t="s">
        <v>2967</v>
      </c>
      <c r="M3397" s="56"/>
    </row>
    <row r="3398">
      <c r="M3398" s="56"/>
    </row>
    <row r="3399">
      <c r="A3399" s="56" t="s">
        <v>3683</v>
      </c>
      <c r="M3399" s="56"/>
    </row>
    <row r="3400">
      <c r="A3400" s="69" t="str">
        <f>+'&lt;th style="width:50px;"&gt;&lt;/th&gt;'</f>
        <v>#ERROR!</v>
      </c>
      <c r="M3400" s="56"/>
    </row>
    <row r="3401">
      <c r="A3401" s="69" t="str">
        <f>+'&lt;th&gt;Style / Product&lt;/th&gt;'</f>
        <v>#ERROR!</v>
      </c>
      <c r="M3401" s="56"/>
    </row>
    <row r="3402">
      <c r="A3402" s="69" t="str">
        <f>+'&lt;th style="text-align:right;"&gt;Made&lt;/th&gt;'</f>
        <v>#ERROR!</v>
      </c>
      <c r="M3402" s="56"/>
    </row>
    <row r="3403">
      <c r="A3403" s="69" t="str">
        <f>+'&lt;th style="text-align:right;"&gt;Sold&lt;/th&gt;'</f>
        <v>#ERROR!</v>
      </c>
      <c r="M3403" s="56"/>
    </row>
    <row r="3404">
      <c r="A3404" s="69" t="str">
        <f>+'&lt;th style="text-align:right;"&gt;In Hand&lt;/th&gt;'</f>
        <v>#ERROR!</v>
      </c>
      <c r="M3404" s="56"/>
    </row>
    <row r="3405">
      <c r="A3405" s="69" t="str">
        <f>+'&lt;th&gt;Sell-Through&lt;/th&gt;'</f>
        <v>#ERROR!</v>
      </c>
      <c r="M3405" s="56"/>
    </row>
    <row r="3406">
      <c r="A3406" s="69" t="str">
        <f>+'&lt;/tr&gt;&lt;/thead&gt;&lt;tbody&gt;';</f>
        <v>#ERROR!</v>
      </c>
      <c r="M3406" s="56"/>
    </row>
    <row r="3407">
      <c r="M3407" s="56"/>
    </row>
    <row r="3408">
      <c r="A3408" s="56" t="s">
        <v>2198</v>
      </c>
      <c r="M3408" s="56"/>
    </row>
    <row r="3409">
      <c r="A3409" s="56" t="s">
        <v>2682</v>
      </c>
      <c r="M3409" s="56"/>
    </row>
    <row r="3410">
      <c r="A3410" s="56" t="s">
        <v>3684</v>
      </c>
      <c r="M3410" s="56"/>
    </row>
    <row r="3411">
      <c r="A3411" s="56" t="s">
        <v>2683</v>
      </c>
      <c r="M3411" s="56"/>
    </row>
    <row r="3412">
      <c r="A3412" s="56" t="s">
        <v>2684</v>
      </c>
      <c r="M3412" s="56"/>
    </row>
    <row r="3413">
      <c r="A3413" s="56" t="s">
        <v>2686</v>
      </c>
      <c r="M3413" s="56"/>
    </row>
    <row r="3414">
      <c r="M3414" s="56"/>
    </row>
    <row r="3415">
      <c r="A3415" s="56" t="s">
        <v>3685</v>
      </c>
      <c r="M3415" s="56"/>
    </row>
    <row r="3416">
      <c r="A3416" s="56" t="s">
        <v>3686</v>
      </c>
      <c r="M3416" s="56"/>
    </row>
    <row r="3417">
      <c r="A3417" s="56" t="s">
        <v>3687</v>
      </c>
      <c r="M3417" s="56"/>
    </row>
    <row r="3418">
      <c r="A3418" s="56" t="s">
        <v>1944</v>
      </c>
      <c r="M3418" s="56"/>
    </row>
    <row r="3419">
      <c r="A3419" s="56" t="s">
        <v>3688</v>
      </c>
      <c r="M3419" s="56"/>
    </row>
    <row r="3420">
      <c r="A3420" s="56" t="s">
        <v>932</v>
      </c>
      <c r="M3420" s="56"/>
    </row>
    <row r="3421">
      <c r="M3421" s="56"/>
    </row>
    <row r="3422">
      <c r="A3422" s="56" t="s">
        <v>2694</v>
      </c>
      <c r="M3422" s="56"/>
    </row>
    <row r="3423">
      <c r="A3423" s="56" t="s">
        <v>2696</v>
      </c>
      <c r="M3423" s="56"/>
    </row>
    <row r="3424">
      <c r="A3424" s="56" t="s">
        <v>3689</v>
      </c>
      <c r="M3424" s="56"/>
    </row>
    <row r="3425">
      <c r="M3425" s="56"/>
    </row>
    <row r="3426">
      <c r="A3426" s="56" t="s">
        <v>3690</v>
      </c>
      <c r="M3426" s="56"/>
    </row>
    <row r="3427">
      <c r="A3427" s="69" t="str">
        <f>+ '&lt;td&gt;'+thumb+'&lt;/td&gt;'</f>
        <v>#ERROR!</v>
      </c>
      <c r="M3427" s="56"/>
    </row>
    <row r="3428">
      <c r="A3428" s="69" t="str">
        <f>+ '&lt;td&gt;&lt;div style="font-weight:600;font-size:13px;"&gt;'+esc(p.product_name)+'&lt;/div&gt;'</f>
        <v>#ERROR!</v>
      </c>
      <c r="M3428" s="56"/>
    </row>
    <row r="3429">
      <c r="A3429" s="69" t="str">
        <f>+    '&lt;div class="num" style="font-size:11px;color:var(--blue);margin-top:2px;"&gt;'+esc(p.style_no)+'&lt;/div&gt;&lt;/td&gt;'</f>
        <v>#ERROR!</v>
      </c>
      <c r="M3429" s="56"/>
    </row>
    <row r="3430">
      <c r="A3430" s="69" t="str">
        <f>+ '&lt;td class="prod-num" style="color:var(--blue);"&gt;'+(p.manufactured||0)+'&lt;/td&gt;'</f>
        <v>#ERROR!</v>
      </c>
      <c r="M3430" s="56"/>
    </row>
    <row r="3431">
      <c r="A3431" s="69" t="str">
        <f>+ '&lt;td class="prod-num" style="color:var(--amber);"&gt;'+(p.sold||0)+'&lt;/td&gt;'</f>
        <v>#ERROR!</v>
      </c>
      <c r="M3431" s="56"/>
    </row>
    <row r="3432">
      <c r="A3432" s="69" t="str">
        <f>+ '&lt;td class="prod-num" style="color:'+ihColor+';"&gt;'+(p.in_hand||0)+'&lt;/td&gt;'</f>
        <v>#ERROR!</v>
      </c>
      <c r="M3432" s="56"/>
    </row>
    <row r="3433">
      <c r="A3433" s="69" t="str">
        <f>+ '&lt;td&gt;&lt;div class="prod-bar-wrap"&gt;'</f>
        <v>#ERROR!</v>
      </c>
      <c r="M3433" s="56"/>
    </row>
    <row r="3434">
      <c r="A3434" s="69" t="str">
        <f>+    '&lt;div class="prod-bar-track"&gt;&lt;div class="prod-bar-fill" style="width:'+Math.min(100,pct)+'%;background:'+barColor+';"&gt;&lt;/div&gt;&lt;/div&gt;'</f>
        <v>#ERROR!</v>
      </c>
      <c r="M3434" s="56"/>
    </row>
    <row r="3435">
      <c r="A3435" s="69" t="str">
        <f>+    '&lt;span class="prod-bar-pct"&gt;'+pct+'%&lt;/span&gt;'</f>
        <v>#ERROR!</v>
      </c>
      <c r="M3435" s="56"/>
    </row>
    <row r="3436">
      <c r="A3436" s="69" t="str">
        <f>+  '&lt;/div&gt;&lt;/td&gt;'</f>
        <v>#ERROR!</v>
      </c>
      <c r="M3436" s="56"/>
    </row>
    <row r="3437">
      <c r="A3437" s="69" t="str">
        <f>+'&lt;/tr&gt;';</f>
        <v>#ERROR!</v>
      </c>
      <c r="M3437" s="56"/>
    </row>
    <row r="3438">
      <c r="A3438" s="56" t="s">
        <v>932</v>
      </c>
      <c r="M3438" s="56"/>
    </row>
    <row r="3439">
      <c r="A3439" s="56" t="s">
        <v>2720</v>
      </c>
      <c r="M3439" s="56"/>
    </row>
    <row r="3440">
      <c r="A3440" s="56" t="s">
        <v>2722</v>
      </c>
      <c r="M3440" s="56"/>
    </row>
    <row r="3441">
      <c r="M3441" s="56"/>
    </row>
    <row r="3442">
      <c r="A3442" s="56" t="s">
        <v>3691</v>
      </c>
      <c r="M3442" s="56"/>
    </row>
    <row r="3443">
      <c r="A3443" s="56" t="s">
        <v>2723</v>
      </c>
      <c r="M3443" s="56"/>
    </row>
    <row r="3444">
      <c r="A3444" s="56" t="s">
        <v>3692</v>
      </c>
      <c r="M3444" s="56"/>
    </row>
    <row r="3445">
      <c r="A3445" s="56" t="s">
        <v>3693</v>
      </c>
      <c r="M3445" s="56"/>
    </row>
    <row r="3446">
      <c r="A3446" s="56" t="s">
        <v>1944</v>
      </c>
      <c r="M3446" s="56"/>
    </row>
    <row r="3447">
      <c r="A3447" s="56" t="s">
        <v>2726</v>
      </c>
      <c r="M3447" s="56"/>
    </row>
    <row r="3448">
      <c r="A3448" s="56" t="s">
        <v>2727</v>
      </c>
      <c r="M3448" s="56"/>
    </row>
    <row r="3449">
      <c r="A3449" s="56" t="s">
        <v>3694</v>
      </c>
      <c r="M3449" s="56"/>
    </row>
    <row r="3450">
      <c r="A3450" s="56" t="s">
        <v>2729</v>
      </c>
      <c r="M3450" s="56"/>
    </row>
    <row r="3451">
      <c r="A3451" s="56" t="s">
        <v>2730</v>
      </c>
      <c r="M3451" s="56"/>
    </row>
    <row r="3452">
      <c r="A3452" s="56" t="s">
        <v>2731</v>
      </c>
      <c r="M3452" s="56"/>
    </row>
    <row r="3453">
      <c r="A3453" s="56" t="s">
        <v>2732</v>
      </c>
      <c r="M3453" s="56"/>
    </row>
    <row r="3454">
      <c r="A3454" s="56" t="s">
        <v>932</v>
      </c>
      <c r="M3454" s="56"/>
    </row>
    <row r="3455">
      <c r="A3455" s="56" t="s">
        <v>2733</v>
      </c>
      <c r="M3455" s="56"/>
    </row>
    <row r="3456">
      <c r="A3456" s="56" t="s">
        <v>2734</v>
      </c>
      <c r="M3456" s="56"/>
    </row>
    <row r="3457">
      <c r="A3457" s="56" t="s">
        <v>2736</v>
      </c>
      <c r="M3457" s="56"/>
    </row>
    <row r="3458">
      <c r="A3458" s="56" t="s">
        <v>3695</v>
      </c>
      <c r="M3458" s="56"/>
    </row>
    <row r="3459">
      <c r="A3459" s="56" t="s">
        <v>3696</v>
      </c>
      <c r="M3459" s="56"/>
    </row>
    <row r="3460">
      <c r="A3460" s="56" t="s">
        <v>932</v>
      </c>
      <c r="M3460" s="56"/>
    </row>
    <row r="3461">
      <c r="A3461" s="56" t="s">
        <v>3697</v>
      </c>
      <c r="M3461" s="56"/>
    </row>
    <row r="3462">
      <c r="A3462" s="69" t="str">
        <f>+ '&lt;div class="pag-btns"&gt;'</f>
        <v>#ERROR!</v>
      </c>
      <c r="M3462" s="56"/>
    </row>
    <row r="3463">
      <c r="A3463" s="69" t="str">
        <f>+   '&lt;button class="pb" onclick="prodGoPage('+(page-1)+')"'+(page&lt;=1?' disabled':'')+'&gt;← Prev&lt;/button&gt;'</f>
        <v>#ERROR!</v>
      </c>
      <c r="M3463" s="56"/>
    </row>
    <row r="3464">
      <c r="A3464" s="69" t="str">
        <f>+   btns</f>
        <v>#NAME?</v>
      </c>
      <c r="M3464" s="56"/>
    </row>
    <row r="3465">
      <c r="A3465" s="69" t="str">
        <f>+   '&lt;button class="pb" onclick="prodGoPage('+(page+1)+')"'+(page&gt;=pages?' disabled':'')+'&gt;Next →&lt;/button&gt;'</f>
        <v>#ERROR!</v>
      </c>
      <c r="M3465" s="56"/>
    </row>
    <row r="3466">
      <c r="A3466" s="69" t="str">
        <f>+ '&lt;/div&gt;';</f>
        <v>#ERROR!</v>
      </c>
      <c r="M3466" s="56"/>
    </row>
    <row r="3467">
      <c r="A3467" s="56" t="s">
        <v>932</v>
      </c>
      <c r="M3467" s="56"/>
    </row>
    <row r="3468">
      <c r="A3468" s="56" t="s">
        <v>932</v>
      </c>
      <c r="M3468" s="56"/>
    </row>
    <row r="3469">
      <c r="M3469" s="56"/>
    </row>
    <row r="3470">
      <c r="A3470" s="56" t="s">
        <v>3698</v>
      </c>
      <c r="M3470" s="56"/>
    </row>
    <row r="3471">
      <c r="A3471" s="56" t="s">
        <v>2745</v>
      </c>
      <c r="M3471" s="56"/>
    </row>
    <row r="3472">
      <c r="A3472" s="56" t="s">
        <v>3699</v>
      </c>
      <c r="M3472" s="56"/>
    </row>
    <row r="3473">
      <c r="A3473" s="56" t="s">
        <v>932</v>
      </c>
      <c r="M3473" s="56"/>
    </row>
    <row r="3474">
      <c r="M3474" s="56"/>
    </row>
    <row r="3475">
      <c r="A3475" s="56" t="s">
        <v>1829</v>
      </c>
      <c r="M3475" s="56"/>
    </row>
    <row r="3476">
      <c r="A3476" s="56" t="s">
        <v>2749</v>
      </c>
      <c r="M3476" s="56"/>
    </row>
    <row r="3477">
      <c r="A3477" s="56" t="s">
        <v>1829</v>
      </c>
      <c r="M3477" s="56"/>
    </row>
    <row r="3478">
      <c r="A3478" s="56" t="s">
        <v>2750</v>
      </c>
      <c r="M3478" s="56"/>
    </row>
    <row r="3479">
      <c r="A3479" s="56" t="s">
        <v>2751</v>
      </c>
      <c r="M3479" s="56"/>
    </row>
    <row r="3480">
      <c r="A3480" s="56" t="s">
        <v>2752</v>
      </c>
      <c r="M3480" s="56"/>
    </row>
    <row r="3481">
      <c r="A3481" s="56" t="s">
        <v>2754</v>
      </c>
      <c r="M3481" s="56"/>
    </row>
    <row r="3482">
      <c r="A3482" s="56" t="s">
        <v>2755</v>
      </c>
      <c r="M3482" s="56"/>
    </row>
    <row r="3483">
      <c r="A3483" s="56" t="s">
        <v>932</v>
      </c>
      <c r="M3483" s="56"/>
    </row>
    <row r="3484">
      <c r="A3484" s="56" t="s">
        <v>2757</v>
      </c>
      <c r="M3484" s="56"/>
    </row>
    <row r="3485">
      <c r="A3485" s="56" t="s">
        <v>2758</v>
      </c>
      <c r="M3485" s="56"/>
    </row>
    <row r="3486">
      <c r="A3486" s="56" t="s">
        <v>2759</v>
      </c>
      <c r="M3486" s="56"/>
    </row>
    <row r="3487">
      <c r="A3487" s="56" t="s">
        <v>2760</v>
      </c>
      <c r="M3487" s="56"/>
    </row>
    <row r="3488">
      <c r="A3488" s="56" t="s">
        <v>2761</v>
      </c>
      <c r="M3488" s="56"/>
    </row>
    <row r="3489">
      <c r="A3489" s="56" t="s">
        <v>2763</v>
      </c>
      <c r="M3489" s="56"/>
    </row>
    <row r="3490">
      <c r="A3490" s="56" t="s">
        <v>1910</v>
      </c>
      <c r="M3490" s="56"/>
    </row>
    <row r="3491">
      <c r="A3491" s="56" t="s">
        <v>2766</v>
      </c>
      <c r="M3491" s="56"/>
    </row>
    <row r="3492">
      <c r="A3492" s="56" t="s">
        <v>2767</v>
      </c>
      <c r="M3492" s="56"/>
    </row>
    <row r="3493">
      <c r="A3493" s="56" t="s">
        <v>2768</v>
      </c>
      <c r="M3493" s="56"/>
    </row>
    <row r="3494">
      <c r="A3494" s="56" t="s">
        <v>932</v>
      </c>
      <c r="M3494" s="56"/>
    </row>
    <row r="3495">
      <c r="A3495" s="56" t="s">
        <v>3700</v>
      </c>
      <c r="M3495" s="56"/>
    </row>
    <row r="3496">
      <c r="A3496" s="56" t="s">
        <v>2770</v>
      </c>
      <c r="M3496" s="56"/>
    </row>
    <row r="3497">
      <c r="A3497" s="56" t="s">
        <v>2771</v>
      </c>
      <c r="M3497" s="56"/>
    </row>
    <row r="3498">
      <c r="A3498" s="56" t="s">
        <v>2772</v>
      </c>
      <c r="M3498" s="56"/>
    </row>
    <row r="3499">
      <c r="A3499" s="56" t="s">
        <v>2773</v>
      </c>
      <c r="M3499" s="56"/>
    </row>
    <row r="3500">
      <c r="A3500" s="56" t="s">
        <v>2774</v>
      </c>
      <c r="M3500" s="56"/>
    </row>
    <row r="3501">
      <c r="A3501" s="56" t="s">
        <v>932</v>
      </c>
      <c r="M3501" s="56"/>
    </row>
    <row r="3502">
      <c r="A3502" s="56" t="s">
        <v>2775</v>
      </c>
      <c r="M3502" s="56"/>
    </row>
    <row r="3503">
      <c r="A3503" s="56" t="s">
        <v>2777</v>
      </c>
      <c r="M3503" s="56"/>
    </row>
    <row r="3504">
      <c r="A3504" s="56" t="s">
        <v>2778</v>
      </c>
      <c r="M3504" s="56"/>
    </row>
    <row r="3505">
      <c r="A3505" s="56" t="s">
        <v>2779</v>
      </c>
      <c r="M3505" s="56"/>
    </row>
    <row r="3506">
      <c r="A3506" s="56" t="s">
        <v>932</v>
      </c>
      <c r="M3506" s="56"/>
    </row>
    <row r="3507">
      <c r="A3507" s="56" t="s">
        <v>2781</v>
      </c>
      <c r="M3507" s="56"/>
    </row>
    <row r="3508">
      <c r="A3508" s="56" t="s">
        <v>2782</v>
      </c>
      <c r="M3508" s="56"/>
    </row>
    <row r="3509">
      <c r="A3509" s="56" t="s">
        <v>2783</v>
      </c>
      <c r="M3509" s="56"/>
    </row>
    <row r="3510">
      <c r="A3510" s="56" t="s">
        <v>2774</v>
      </c>
      <c r="M3510" s="56"/>
    </row>
    <row r="3511">
      <c r="A3511" s="56" t="s">
        <v>932</v>
      </c>
      <c r="M3511" s="56"/>
    </row>
    <row r="3512">
      <c r="A3512" s="56" t="s">
        <v>2786</v>
      </c>
      <c r="M3512" s="56"/>
    </row>
    <row r="3513">
      <c r="A3513" s="56" t="s">
        <v>2782</v>
      </c>
      <c r="M3513" s="56"/>
    </row>
    <row r="3514">
      <c r="A3514" s="56" t="s">
        <v>2787</v>
      </c>
      <c r="M3514" s="56"/>
    </row>
    <row r="3515">
      <c r="A3515" s="56" t="s">
        <v>2788</v>
      </c>
      <c r="M3515" s="56"/>
    </row>
    <row r="3516">
      <c r="A3516" s="56" t="s">
        <v>932</v>
      </c>
      <c r="M3516" s="56"/>
    </row>
    <row r="3517">
      <c r="A3517" s="56" t="s">
        <v>2789</v>
      </c>
      <c r="M3517" s="56"/>
    </row>
    <row r="3518">
      <c r="A3518" s="56" t="s">
        <v>2791</v>
      </c>
      <c r="M3518" s="56"/>
    </row>
    <row r="3519">
      <c r="A3519" s="56" t="s">
        <v>2792</v>
      </c>
      <c r="M3519" s="56"/>
    </row>
    <row r="3520">
      <c r="A3520" s="56" t="s">
        <v>2794</v>
      </c>
      <c r="M3520" s="56"/>
    </row>
    <row r="3521">
      <c r="A3521" s="56" t="s">
        <v>2795</v>
      </c>
      <c r="M3521" s="56"/>
    </row>
    <row r="3522">
      <c r="A3522" s="56" t="s">
        <v>3701</v>
      </c>
      <c r="M3522" s="56"/>
    </row>
    <row r="3523">
      <c r="A3523" s="69" t="str">
        <f>+'&lt;input type="number" class="mono" min="0" placeholder="0" value="'+(it.sizes[sz]||'')+'" '</f>
        <v>#ERROR!</v>
      </c>
      <c r="M3523" s="56"/>
    </row>
    <row r="3524">
      <c r="A3524" s="69" t="str">
        <f>+'oninput="updateReqItemSize(\''+it.id+'\',\''+sz+'\',this.value)" style="width:100%;"&gt;&lt;/div&gt;';</f>
        <v>#ERROR!</v>
      </c>
      <c r="M3524" s="56"/>
    </row>
    <row r="3525">
      <c r="A3525" s="56" t="s">
        <v>2081</v>
      </c>
      <c r="M3525" s="56"/>
    </row>
    <row r="3526">
      <c r="A3526" s="56" t="s">
        <v>2799</v>
      </c>
      <c r="M3526" s="56"/>
    </row>
    <row r="3527">
      <c r="A3527" s="56" t="s">
        <v>3702</v>
      </c>
      <c r="M3527" s="56"/>
    </row>
    <row r="3528">
      <c r="A3528" s="69" t="str">
        <f>+'&lt;div style="display:flex;gap:10px;align-items:flex-end;margin-bottom:10px;"&gt;'</f>
        <v>#ERROR!</v>
      </c>
      <c r="M3528" s="56"/>
    </row>
    <row r="3529">
      <c r="A3529" s="69" t="str">
        <f>+  '&lt;div class="field" style="flex:1;"&gt;&lt;label&gt;Style No. *&lt;/label&gt;'</f>
        <v>#ERROR!</v>
      </c>
      <c r="M3529" s="56"/>
    </row>
    <row r="3530">
      <c r="A3530" s="69" t="str">
        <f>+    '&lt;input class="mono" list="products-list" value="'+esc(it.style_no)+'" placeholder="VH-EP10_" '</f>
        <v>#ERROR!</v>
      </c>
      <c r="M3530" s="56"/>
    </row>
    <row r="3531">
      <c r="A3531" s="69" t="str">
        <f>+    'oninput="updateReqItemStyle(\''+it.id+'\',this.value)"&gt;'</f>
        <v>#ERROR!</v>
      </c>
      <c r="M3531" s="56"/>
    </row>
    <row r="3532">
      <c r="A3532" s="69" t="str">
        <f>+    (p?'&lt;span style="font-size:11px;color:var(--muted);margin-top:2px;"&gt;'+esc(p.product_name)+'&lt;/span&gt;':'')</f>
        <v>#ERROR!</v>
      </c>
      <c r="M3532" s="56"/>
    </row>
    <row r="3533">
      <c r="A3533" s="69" t="str">
        <f>+  '&lt;/div&gt;'</f>
        <v>#ERROR!</v>
      </c>
      <c r="M3533" s="56"/>
    </row>
    <row r="3534">
      <c r="A3534" s="69" t="str">
        <f>+  '&lt;div style="font-family:\'JetBrains Mono\',monospace;font-size:13px;font-weight:600;color:var(--amber);padding-bottom:6px;"&gt;Est: '+total+'&lt;/div&gt;'</f>
        <v>#ERROR!</v>
      </c>
      <c r="M3534" s="56"/>
    </row>
    <row r="3535">
      <c r="A3535" s="69" t="str">
        <f>+  '&lt;button class="rm-btn" onclick="removeReqItem(\''+it.id+'\')"&gt;×&lt;/button&gt;'</f>
        <v>#ERROR!</v>
      </c>
      <c r="M3535" s="56"/>
    </row>
    <row r="3536">
      <c r="A3536" s="69" t="str">
        <f>+'&lt;/div&gt;'</f>
        <v>#ERROR!</v>
      </c>
      <c r="M3536" s="56"/>
    </row>
    <row r="3537">
      <c r="A3537" s="69" t="str">
        <f>+'&lt;div style="display:flex;gap:6px;flex-wrap:wrap;"&gt;'+sizeInputs+'&lt;/div&gt;'</f>
        <v>#ERROR!</v>
      </c>
      <c r="M3537" s="56"/>
    </row>
    <row r="3538">
      <c r="A3538" s="69" t="str">
        <f>+'&lt;/div&gt;';</f>
        <v>#ERROR!</v>
      </c>
      <c r="M3538" s="56"/>
    </row>
    <row r="3539">
      <c r="A3539" s="56" t="s">
        <v>2081</v>
      </c>
      <c r="M3539" s="56"/>
    </row>
    <row r="3540">
      <c r="A3540" s="56" t="s">
        <v>2788</v>
      </c>
      <c r="M3540" s="56"/>
    </row>
    <row r="3541">
      <c r="A3541" s="56" t="s">
        <v>932</v>
      </c>
      <c r="M3541" s="56"/>
    </row>
    <row r="3542">
      <c r="A3542" s="56" t="s">
        <v>2812</v>
      </c>
      <c r="M3542" s="56"/>
    </row>
    <row r="3543">
      <c r="A3543" s="56" t="s">
        <v>2813</v>
      </c>
      <c r="M3543" s="56"/>
    </row>
    <row r="3544">
      <c r="A3544" s="56" t="s">
        <v>2814</v>
      </c>
      <c r="M3544" s="56"/>
    </row>
    <row r="3545">
      <c r="A3545" s="56" t="s">
        <v>2815</v>
      </c>
      <c r="M3545" s="56"/>
    </row>
    <row r="3546">
      <c r="A3546" s="56" t="s">
        <v>2816</v>
      </c>
      <c r="M3546" s="56"/>
    </row>
    <row r="3547">
      <c r="A3547" s="56" t="s">
        <v>2818</v>
      </c>
      <c r="M3547" s="56"/>
    </row>
    <row r="3548">
      <c r="A3548" s="56" t="s">
        <v>2819</v>
      </c>
      <c r="M3548" s="56"/>
    </row>
    <row r="3549">
      <c r="A3549" s="56" t="s">
        <v>1910</v>
      </c>
      <c r="M3549" s="56"/>
    </row>
    <row r="3550">
      <c r="A3550" s="56" t="s">
        <v>2820</v>
      </c>
      <c r="M3550" s="56"/>
    </row>
    <row r="3551">
      <c r="A3551" s="56" t="s">
        <v>3703</v>
      </c>
      <c r="M3551" s="56"/>
    </row>
    <row r="3552">
      <c r="A3552" s="56" t="s">
        <v>3704</v>
      </c>
      <c r="M3552" s="56"/>
    </row>
    <row r="3553">
      <c r="A3553" s="56" t="s">
        <v>932</v>
      </c>
      <c r="M3553" s="56"/>
    </row>
    <row r="3554">
      <c r="A3554" s="56" t="s">
        <v>2826</v>
      </c>
      <c r="M3554" s="56"/>
    </row>
    <row r="3555">
      <c r="A3555" s="56" t="s">
        <v>2828</v>
      </c>
      <c r="M3555" s="56"/>
    </row>
    <row r="3556">
      <c r="A3556" s="56" t="s">
        <v>2830</v>
      </c>
      <c r="M3556" s="56"/>
    </row>
    <row r="3557">
      <c r="A3557" s="56" t="s">
        <v>2831</v>
      </c>
      <c r="M3557" s="56"/>
    </row>
    <row r="3558">
      <c r="A3558" s="56" t="s">
        <v>932</v>
      </c>
      <c r="M3558" s="56"/>
    </row>
    <row r="3559">
      <c r="A3559" s="56" t="s">
        <v>2832</v>
      </c>
      <c r="M3559" s="56"/>
    </row>
    <row r="3560">
      <c r="A3560" s="56" t="s">
        <v>2833</v>
      </c>
      <c r="M3560" s="56"/>
    </row>
    <row r="3561">
      <c r="A3561" s="56" t="s">
        <v>2834</v>
      </c>
      <c r="M3561" s="56"/>
    </row>
    <row r="3562">
      <c r="A3562" s="56" t="s">
        <v>2836</v>
      </c>
      <c r="M3562" s="56"/>
    </row>
    <row r="3563">
      <c r="A3563" s="56" t="s">
        <v>2838</v>
      </c>
      <c r="M3563" s="56"/>
    </row>
    <row r="3564">
      <c r="A3564" s="56" t="s">
        <v>3705</v>
      </c>
      <c r="M3564" s="56"/>
    </row>
    <row r="3565">
      <c r="A3565" s="56" t="s">
        <v>3706</v>
      </c>
      <c r="M3565" s="56"/>
    </row>
    <row r="3566">
      <c r="A3566" s="56" t="s">
        <v>3707</v>
      </c>
      <c r="M3566" s="56"/>
    </row>
    <row r="3567">
      <c r="A3567" s="56" t="s">
        <v>2813</v>
      </c>
      <c r="M3567" s="56"/>
    </row>
    <row r="3568">
      <c r="A3568" s="56" t="s">
        <v>2844</v>
      </c>
      <c r="M3568" s="56"/>
    </row>
    <row r="3569">
      <c r="A3569" s="56" t="s">
        <v>2845</v>
      </c>
      <c r="M3569" s="56"/>
    </row>
    <row r="3570">
      <c r="A3570" s="56" t="s">
        <v>2846</v>
      </c>
      <c r="M3570" s="56"/>
    </row>
    <row r="3571">
      <c r="A3571" s="56" t="s">
        <v>3708</v>
      </c>
      <c r="M3571" s="56"/>
    </row>
    <row r="3572">
      <c r="A3572" s="56" t="s">
        <v>2818</v>
      </c>
      <c r="M3572" s="56"/>
    </row>
    <row r="3573">
      <c r="A3573" s="56" t="s">
        <v>3709</v>
      </c>
      <c r="M3573" s="56"/>
    </row>
    <row r="3574">
      <c r="A3574" s="56" t="s">
        <v>3710</v>
      </c>
      <c r="M3574" s="56"/>
    </row>
    <row r="3575">
      <c r="A3575" s="56" t="s">
        <v>2854</v>
      </c>
      <c r="M3575" s="56"/>
    </row>
    <row r="3576">
      <c r="A3576" s="56" t="s">
        <v>932</v>
      </c>
      <c r="M3576" s="56"/>
    </row>
    <row r="3577">
      <c r="A3577" s="56" t="s">
        <v>3711</v>
      </c>
      <c r="M3577" s="56"/>
    </row>
    <row r="3578">
      <c r="A3578" s="56" t="s">
        <v>3712</v>
      </c>
      <c r="M3578" s="56"/>
    </row>
    <row r="3579">
      <c r="A3579" s="56" t="s">
        <v>1929</v>
      </c>
      <c r="M3579" s="56"/>
    </row>
    <row r="3580">
      <c r="A3580" s="56" t="s">
        <v>1930</v>
      </c>
      <c r="M3580" s="56"/>
    </row>
    <row r="3581">
      <c r="A3581" s="56" t="s">
        <v>3713</v>
      </c>
      <c r="M3581" s="56"/>
    </row>
    <row r="3582">
      <c r="A3582" s="56" t="s">
        <v>3714</v>
      </c>
      <c r="M3582" s="56"/>
    </row>
    <row r="3583">
      <c r="A3583" s="56" t="s">
        <v>3715</v>
      </c>
      <c r="M3583" s="56"/>
    </row>
    <row r="3584">
      <c r="A3584" s="56" t="s">
        <v>1946</v>
      </c>
      <c r="M3584" s="56"/>
    </row>
    <row r="3585">
      <c r="A3585" s="56" t="s">
        <v>3716</v>
      </c>
      <c r="M3585" s="56"/>
    </row>
    <row r="3586">
      <c r="A3586" s="56" t="s">
        <v>3717</v>
      </c>
      <c r="M3586" s="56"/>
    </row>
    <row r="3587">
      <c r="A3587" s="56" t="s">
        <v>932</v>
      </c>
      <c r="M3587" s="56"/>
    </row>
    <row r="3588">
      <c r="M3588" s="56"/>
    </row>
    <row r="3589">
      <c r="A3589" s="56" t="s">
        <v>2867</v>
      </c>
      <c r="M3589" s="56"/>
    </row>
    <row r="3590">
      <c r="A3590" s="56" t="s">
        <v>2868</v>
      </c>
      <c r="M3590" s="56"/>
    </row>
    <row r="3591">
      <c r="A3591" s="56" t="s">
        <v>3718</v>
      </c>
      <c r="M3591" s="56"/>
    </row>
    <row r="3592">
      <c r="A3592" s="56" t="s">
        <v>1929</v>
      </c>
      <c r="M3592" s="56"/>
    </row>
    <row r="3593">
      <c r="A3593" s="56" t="s">
        <v>3719</v>
      </c>
      <c r="M3593" s="56"/>
    </row>
    <row r="3594">
      <c r="A3594" s="56" t="s">
        <v>3720</v>
      </c>
      <c r="M3594" s="56"/>
    </row>
    <row r="3595">
      <c r="A3595" s="56" t="s">
        <v>3721</v>
      </c>
      <c r="M3595" s="56"/>
    </row>
    <row r="3596">
      <c r="A3596" s="56" t="s">
        <v>1946</v>
      </c>
      <c r="M3596" s="56"/>
    </row>
    <row r="3597">
      <c r="A3597" s="56" t="s">
        <v>3722</v>
      </c>
      <c r="M3597" s="56"/>
    </row>
    <row r="3598">
      <c r="A3598" s="56" t="s">
        <v>2874</v>
      </c>
      <c r="M3598" s="56"/>
    </row>
    <row r="3599">
      <c r="A3599" s="56" t="s">
        <v>932</v>
      </c>
      <c r="M3599" s="56"/>
    </row>
    <row r="3600">
      <c r="A3600" s="56" t="s">
        <v>2877</v>
      </c>
      <c r="M3600" s="56"/>
    </row>
    <row r="3601">
      <c r="A3601" s="56" t="s">
        <v>2879</v>
      </c>
      <c r="M3601" s="56"/>
    </row>
    <row r="3602">
      <c r="A3602" s="56" t="s">
        <v>3723</v>
      </c>
      <c r="M3602" s="56"/>
    </row>
    <row r="3603">
      <c r="A3603" s="56" t="s">
        <v>2791</v>
      </c>
      <c r="M3603" s="56"/>
    </row>
    <row r="3604">
      <c r="A3604" s="56" t="s">
        <v>2881</v>
      </c>
      <c r="M3604" s="56"/>
    </row>
    <row r="3605">
      <c r="A3605" s="56" t="s">
        <v>2883</v>
      </c>
      <c r="M3605" s="56"/>
    </row>
    <row r="3606">
      <c r="A3606" s="56" t="s">
        <v>3724</v>
      </c>
      <c r="M3606" s="56"/>
    </row>
    <row r="3607">
      <c r="A3607" s="56" t="s">
        <v>3725</v>
      </c>
      <c r="M3607" s="56"/>
    </row>
    <row r="3608">
      <c r="A3608" s="69" t="str">
        <f>+'&lt;div style="display:flex;justify-content:space-between;align-items:center;"&gt;'</f>
        <v>#ERROR!</v>
      </c>
      <c r="M3608" s="56"/>
    </row>
    <row r="3609">
      <c r="A3609" s="69" t="str">
        <f>+'&lt;span&gt;&lt;span class="mono" style="font-size:12px;color:var(--blue);font-weight:600;"&gt;'+esc(it.style_no)+'&lt;/span&gt; · '+esc(it.product_name)+'&lt;/span&gt;'</f>
        <v>#ERROR!</v>
      </c>
      <c r="M3609" s="56"/>
    </row>
    <row r="3610">
      <c r="A3610" s="69" t="str">
        <f>+'&lt;span class="mono" style="font-weight:700;color:var(--amber);"&gt;'+it.est_total+' pcs&lt;/span&gt;&lt;/div&gt;'</f>
        <v>#ERROR!</v>
      </c>
      <c r="M3610" s="56"/>
    </row>
    <row r="3611">
      <c r="A3611" s="69" t="str">
        <f>+'&lt;div style="margin-top:3px;color:var(--muted);font-size:11px;"&gt;'+szHtml+'&lt;/div&gt;&lt;/div&gt;';</f>
        <v>#ERROR!</v>
      </c>
      <c r="M3611" s="56"/>
    </row>
    <row r="3612">
      <c r="A3612" s="56" t="s">
        <v>2081</v>
      </c>
      <c r="M3612" s="56"/>
    </row>
    <row r="3613">
      <c r="A3613" s="56" t="s">
        <v>3726</v>
      </c>
      <c r="M3613" s="56"/>
    </row>
    <row r="3614">
      <c r="A3614" s="69" t="str">
        <f>+'&lt;div style="display:flex;justify-content:space-between;align-items:flex-start;margin-bottom:10px;"&gt;'</f>
        <v>#ERROR!</v>
      </c>
      <c r="M3614" s="56"/>
    </row>
    <row r="3615">
      <c r="A3615" s="69" t="str">
        <f>+  '&lt;div&gt;'</f>
        <v>#ERROR!</v>
      </c>
      <c r="M3615" s="56"/>
    </row>
    <row r="3616">
      <c r="A3616" s="69" t="str">
        <f>+    '&lt;div class="mono" style="font-weight:600;font-size:13px;"&gt;'+r.req_id+'&lt;/div&gt;'</f>
        <v>#ERROR!</v>
      </c>
      <c r="M3616" s="56"/>
    </row>
    <row r="3617">
      <c r="A3617" s="69" t="str">
        <f>+    '&lt;div style="font-size:12px;color:var(--muted);"&gt;Master: &lt;strong&gt;'+esc(r.master)+'&lt;/strong&gt; · '+esc(r.fabric_name)+' · '+r.meters_issued+' mtrs&lt;/div&gt;'</f>
        <v>#ERROR!</v>
      </c>
      <c r="M3617" s="56"/>
    </row>
    <row r="3618">
      <c r="A3618" s="69" t="str">
        <f>+    '&lt;div style="font-size:11px;color:var(--muted);"&gt;Created: '+r.created_at+'&lt;/div&gt;'</f>
        <v>#ERROR!</v>
      </c>
      <c r="M3618" s="56"/>
    </row>
    <row r="3619">
      <c r="A3619" s="69" t="str">
        <f>+  '&lt;/div&gt;'</f>
        <v>#ERROR!</v>
      </c>
      <c r="M3619" s="56"/>
    </row>
    <row r="3620">
      <c r="A3620" s="69" t="str">
        <f>+  '&lt;span class="badge b-Pending" style="font-size:10px;"&gt;OPEN&lt;/span&gt;'</f>
        <v>#ERROR!</v>
      </c>
      <c r="M3620" s="56"/>
    </row>
    <row r="3621">
      <c r="A3621" s="69" t="str">
        <f>+'&lt;/div&gt;'</f>
        <v>#ERROR!</v>
      </c>
      <c r="M3621" s="56"/>
    </row>
    <row r="3622">
      <c r="A3622" s="69" t="str">
        <f>+itemsHtml</f>
        <v>#NAME?</v>
      </c>
      <c r="M3622" s="56"/>
    </row>
    <row r="3623">
      <c r="A3623" s="69" t="str">
        <f>+'&lt;div style="display:flex;gap:8px;margin-top:10px;"&gt;'</f>
        <v>#ERROR!</v>
      </c>
      <c r="M3623" s="56"/>
    </row>
    <row r="3624">
      <c r="A3624" s="69" t="str">
        <f>+  '&lt;button class="btn btn-primary btn-sm" onclick="openRecvModal(\''+r.req_id+'\')"&gt;&lt;svg width="12" height="12" fill="none" stroke="currentColor" viewBox="0 0 24 24"&gt;&lt;polyline points="20 6 9 17 4 12"/&gt;&lt;/svg&gt;Mark Received&lt;/button&gt;'</f>
        <v>#ERROR!</v>
      </c>
      <c r="M3624" s="56"/>
    </row>
    <row r="3625">
      <c r="A3625" s="69" t="str">
        <f>+  '&lt;button class="btn btn-danger-soft btn-sm" onclick="cancelReqFn(\''+r.req_id+'\')"&gt;Cancel&lt;/button&gt;'</f>
        <v>#ERROR!</v>
      </c>
      <c r="M3625" s="56"/>
    </row>
    <row r="3626">
      <c r="A3626" s="69" t="str">
        <f>+'&lt;/div&gt;&lt;/div&gt;';</f>
        <v>#ERROR!</v>
      </c>
      <c r="M3626" s="56"/>
    </row>
    <row r="3627">
      <c r="A3627" s="56" t="s">
        <v>2081</v>
      </c>
      <c r="M3627" s="56"/>
    </row>
    <row r="3628">
      <c r="A3628" s="56" t="s">
        <v>2907</v>
      </c>
      <c r="M3628" s="56"/>
    </row>
    <row r="3629">
      <c r="A3629" s="56" t="s">
        <v>932</v>
      </c>
      <c r="M3629" s="56"/>
    </row>
    <row r="3630">
      <c r="A3630" s="56" t="s">
        <v>2908</v>
      </c>
      <c r="M3630" s="56"/>
    </row>
    <row r="3631">
      <c r="A3631" s="56" t="s">
        <v>3727</v>
      </c>
      <c r="M3631" s="56"/>
    </row>
    <row r="3632">
      <c r="A3632" s="56" t="s">
        <v>2911</v>
      </c>
      <c r="M3632" s="56"/>
    </row>
    <row r="3633">
      <c r="A3633" s="56" t="s">
        <v>1929</v>
      </c>
      <c r="M3633" s="56"/>
    </row>
    <row r="3634">
      <c r="A3634" s="56" t="s">
        <v>1930</v>
      </c>
      <c r="M3634" s="56"/>
    </row>
    <row r="3635">
      <c r="A3635" s="56" t="s">
        <v>3728</v>
      </c>
      <c r="M3635" s="56"/>
    </row>
    <row r="3636">
      <c r="A3636" s="56" t="s">
        <v>3715</v>
      </c>
      <c r="M3636" s="56"/>
    </row>
    <row r="3637">
      <c r="A3637" s="56" t="s">
        <v>1946</v>
      </c>
      <c r="M3637" s="56"/>
    </row>
    <row r="3638">
      <c r="A3638" s="56" t="s">
        <v>3560</v>
      </c>
      <c r="M3638" s="56"/>
    </row>
    <row r="3639">
      <c r="A3639" s="56" t="s">
        <v>2916</v>
      </c>
      <c r="M3639" s="56"/>
    </row>
    <row r="3640">
      <c r="A3640" s="56" t="s">
        <v>932</v>
      </c>
      <c r="M3640" s="56"/>
    </row>
    <row r="3641">
      <c r="M3641" s="56"/>
    </row>
    <row r="3642">
      <c r="A3642" s="56" t="s">
        <v>3729</v>
      </c>
      <c r="M3642" s="56"/>
    </row>
    <row r="3643">
      <c r="A3643" s="56" t="s">
        <v>2920</v>
      </c>
      <c r="M3643" s="56"/>
    </row>
    <row r="3644">
      <c r="A3644" s="56" t="s">
        <v>2921</v>
      </c>
      <c r="M3644" s="56"/>
    </row>
    <row r="3645">
      <c r="A3645" s="56" t="s">
        <v>2922</v>
      </c>
      <c r="M3645" s="56"/>
    </row>
    <row r="3646">
      <c r="A3646" s="56" t="s">
        <v>3179</v>
      </c>
      <c r="M3646" s="56"/>
    </row>
    <row r="3647">
      <c r="A3647" s="56" t="s">
        <v>2924</v>
      </c>
      <c r="M3647" s="56"/>
    </row>
    <row r="3648">
      <c r="A3648" s="56" t="s">
        <v>2925</v>
      </c>
      <c r="M3648" s="56"/>
    </row>
    <row r="3649">
      <c r="A3649" s="56" t="s">
        <v>2791</v>
      </c>
      <c r="M3649" s="56"/>
    </row>
    <row r="3650">
      <c r="M3650" s="56"/>
    </row>
    <row r="3651">
      <c r="A3651" s="56" t="s">
        <v>3730</v>
      </c>
      <c r="M3651" s="56"/>
    </row>
    <row r="3652">
      <c r="A3652" s="69" t="str">
        <f>+'&lt;div style="font-size:13px;"&gt;&lt;strong&gt;'+esc(r.master)+'&lt;/strong&gt; · '+esc(r.fabric_name)+' · &lt;span class="mono"&gt;'+r.meters_issued+' mtrs&lt;/span&gt;&lt;/div&gt;&lt;/div&gt;';</f>
        <v>#ERROR!</v>
      </c>
      <c r="M3652" s="56"/>
    </row>
    <row r="3653">
      <c r="M3653" s="56"/>
    </row>
    <row r="3654">
      <c r="A3654" s="56" t="s">
        <v>2929</v>
      </c>
      <c r="M3654" s="56"/>
    </row>
    <row r="3655">
      <c r="A3655" s="56" t="s">
        <v>2931</v>
      </c>
      <c r="M3655" s="56"/>
    </row>
    <row r="3656">
      <c r="A3656" s="56" t="s">
        <v>3731</v>
      </c>
      <c r="M3656" s="56"/>
    </row>
    <row r="3657">
      <c r="M3657" s="56"/>
    </row>
    <row r="3658">
      <c r="A3658" s="56" t="s">
        <v>3732</v>
      </c>
      <c r="M3658" s="56"/>
    </row>
    <row r="3659">
      <c r="A3659" s="56" t="s">
        <v>3733</v>
      </c>
      <c r="M3659" s="56"/>
    </row>
    <row r="3660">
      <c r="A3660" s="69" t="str">
        <f>+'&lt;div&gt;&lt;span class="mono" style="color:var(--blue);font-weight:600;font-size:13px;"&gt;'+esc(it.style_no)+'&lt;/span&gt; · '+esc(it.product_name)+'&lt;/div&gt;'</f>
        <v>#ERROR!</v>
      </c>
      <c r="M3660" s="56"/>
    </row>
    <row r="3661">
      <c r="A3661" s="69" t="str">
        <f>+'&lt;div class="mono" style="font-size:13px;"&gt;Master estimated: &lt;strong style="color:var(--amber);font-size:16px;"&gt;'+it.est_total+'&lt;/strong&gt;&lt;/div&gt;&lt;/div&gt;';</f>
        <v>#ERROR!</v>
      </c>
      <c r="M3661" s="56"/>
    </row>
    <row r="3662">
      <c r="M3662" s="56"/>
    </row>
    <row r="3663">
      <c r="A3663" s="56" t="s">
        <v>3734</v>
      </c>
      <c r="M3663" s="56"/>
    </row>
    <row r="3664">
      <c r="A3664" s="56" t="s">
        <v>3735</v>
      </c>
      <c r="M3664" s="56"/>
    </row>
    <row r="3665">
      <c r="A3665" s="56" t="s">
        <v>3736</v>
      </c>
      <c r="M3665" s="56"/>
    </row>
    <row r="3666">
      <c r="A3666" s="56" t="s">
        <v>3737</v>
      </c>
      <c r="M3666" s="56"/>
    </row>
    <row r="3667">
      <c r="A3667" s="56" t="s">
        <v>2945</v>
      </c>
      <c r="M3667" s="56"/>
    </row>
    <row r="3668">
      <c r="A3668" s="56" t="s">
        <v>2946</v>
      </c>
      <c r="M3668" s="56"/>
    </row>
    <row r="3669">
      <c r="A3669" s="56" t="s">
        <v>3738</v>
      </c>
      <c r="M3669" s="56"/>
    </row>
    <row r="3670">
      <c r="A3670" s="69" t="str">
        <f>+'&lt;div style="font-size:10px;color:var(--muted);margin-bottom:2px;"&gt;'+sizes[s]+' &lt;span style="opacity:.6;"&gt;(est:'+estVal+')&lt;/span&gt;&lt;/div&gt;'</f>
        <v>#ERROR!</v>
      </c>
      <c r="M3670" s="56"/>
    </row>
    <row r="3671">
      <c r="A3671" s="69" t="str">
        <f>+'&lt;input type="number" class="mono" min="0" value="'+estVal+'" style="width:100%;text-align:center;font-size:15px;font-weight:600;padding:8px 4px;" '</f>
        <v>#ERROR!</v>
      </c>
      <c r="M3671" s="56"/>
    </row>
    <row r="3672">
      <c r="A3672" s="69" t="str">
        <f>+'id="recv-act-'+it.line_no+'-'+sizes[s]+'" oninput="recvCalcLine('+it.line_no+')"&gt;&lt;/div&gt;';</f>
        <v>#ERROR!</v>
      </c>
      <c r="M3672" s="56"/>
    </row>
    <row r="3673">
      <c r="A3673" s="56" t="s">
        <v>932</v>
      </c>
      <c r="M3673" s="56"/>
    </row>
    <row r="3674">
      <c r="A3674" s="56" t="s">
        <v>3281</v>
      </c>
      <c r="M3674" s="56"/>
    </row>
    <row r="3675">
      <c r="M3675" s="56"/>
    </row>
    <row r="3676">
      <c r="A3676" s="56" t="s">
        <v>3739</v>
      </c>
      <c r="M3676" s="56"/>
    </row>
    <row r="3677">
      <c r="A3677" s="56" t="s">
        <v>3740</v>
      </c>
      <c r="M3677" s="56"/>
    </row>
    <row r="3678">
      <c r="M3678" s="56"/>
    </row>
    <row r="3679">
      <c r="A3679" s="56" t="s">
        <v>3741</v>
      </c>
      <c r="M3679" s="56"/>
    </row>
    <row r="3680">
      <c r="A3680" s="56" t="s">
        <v>3742</v>
      </c>
      <c r="M3680" s="56"/>
    </row>
    <row r="3681">
      <c r="A3681" s="56" t="s">
        <v>3743</v>
      </c>
      <c r="M3681" s="56"/>
    </row>
    <row r="3682">
      <c r="A3682" s="56" t="s">
        <v>3744</v>
      </c>
      <c r="M3682" s="56"/>
    </row>
    <row r="3683">
      <c r="A3683" s="56" t="s">
        <v>2957</v>
      </c>
      <c r="M3683" s="56"/>
    </row>
    <row r="3684">
      <c r="A3684" s="56" t="s">
        <v>3745</v>
      </c>
      <c r="M3684" s="56"/>
    </row>
    <row r="3685">
      <c r="A3685" s="56" t="s">
        <v>3746</v>
      </c>
      <c r="M3685" s="56"/>
    </row>
    <row r="3686">
      <c r="A3686" s="56" t="s">
        <v>3747</v>
      </c>
      <c r="M3686" s="56"/>
    </row>
    <row r="3687">
      <c r="A3687" s="56" t="s">
        <v>3748</v>
      </c>
      <c r="M3687" s="56"/>
    </row>
    <row r="3688">
      <c r="A3688" s="56" t="s">
        <v>3749</v>
      </c>
      <c r="M3688" s="56"/>
    </row>
    <row r="3689">
      <c r="A3689" s="56" t="s">
        <v>3750</v>
      </c>
      <c r="M3689" s="56"/>
    </row>
    <row r="3690">
      <c r="A3690" s="56" t="s">
        <v>2967</v>
      </c>
      <c r="M3690" s="56"/>
    </row>
    <row r="3691">
      <c r="A3691" s="56" t="s">
        <v>2968</v>
      </c>
      <c r="M3691" s="56"/>
    </row>
    <row r="3692">
      <c r="A3692" s="56" t="s">
        <v>3751</v>
      </c>
      <c r="M3692" s="56"/>
    </row>
    <row r="3693">
      <c r="A3693" s="69" t="str">
        <f>+'&lt;div style="font-size:11px;font-weight:500;margin-bottom:2px;"&gt;'+reasons[k].label+'&lt;/div&gt;'</f>
        <v>#ERROR!</v>
      </c>
      <c r="M3693" s="56"/>
    </row>
    <row r="3694">
      <c r="A3694" s="69" t="str">
        <f>+'&lt;input type="number" class="mono" min="0" value="0" style="width:100%;text-align:center;font-size:14px;padding:6px;" '</f>
        <v>#ERROR!</v>
      </c>
      <c r="M3694" s="56"/>
    </row>
    <row r="3695">
      <c r="A3695" s="69" t="str">
        <f>+'id="recv-'+reasons[k].key+'-'+it.line_no+'" oninput="recvCalcLine('+it.line_no+')"&gt;'</f>
        <v>#ERROR!</v>
      </c>
      <c r="M3695" s="56"/>
    </row>
    <row r="3696">
      <c r="A3696" s="69" t="str">
        <f>+'&lt;div style="font-size:9px;color:var(--muted);margin-top:1px;"&gt;'+reasons[k].hint+'&lt;/div&gt;&lt;/div&gt;';</f>
        <v>#ERROR!</v>
      </c>
      <c r="M3696" s="56"/>
    </row>
    <row r="3697">
      <c r="A3697" s="56" t="s">
        <v>932</v>
      </c>
      <c r="M3697" s="56"/>
    </row>
    <row r="3698">
      <c r="A3698" s="56" t="s">
        <v>3281</v>
      </c>
      <c r="M3698" s="56"/>
    </row>
    <row r="3699">
      <c r="A3699" s="56" t="s">
        <v>3752</v>
      </c>
      <c r="M3699" s="56"/>
    </row>
    <row r="3700">
      <c r="A3700" s="56" t="s">
        <v>3753</v>
      </c>
      <c r="M3700" s="56"/>
    </row>
    <row r="3701">
      <c r="A3701" s="69" t="str">
        <f>+'&lt;div class="field"&gt;&lt;label style="color:var(--red);font-weight:600;"&gt;Reason for "Other" loss (required) *&lt;/label&gt;'</f>
        <v>#ERROR!</v>
      </c>
      <c r="M3701" s="56"/>
    </row>
    <row r="3702">
      <c r="A3702" s="69" t="str">
        <f>+'&lt;input type="text" id="recv-other-note-'+it.line_no+'" placeholder="e.g. Fabric stolen by worker, pieces lost in transit…" oninput="recvCalcLine('+it.line_no+')" style="border-color:var(--red);"&gt;&lt;/div&gt;&lt;/div&gt;';</f>
        <v>#ERROR!</v>
      </c>
      <c r="M3702" s="56"/>
    </row>
    <row r="3703">
      <c r="A3703" s="56" t="s">
        <v>3754</v>
      </c>
      <c r="M3703" s="56"/>
    </row>
    <row r="3704">
      <c r="A3704" s="56" t="s">
        <v>3755</v>
      </c>
      <c r="M3704" s="56"/>
    </row>
    <row r="3705">
      <c r="M3705" s="56"/>
    </row>
    <row r="3706">
      <c r="A3706" s="56" t="s">
        <v>3756</v>
      </c>
      <c r="M3706" s="56"/>
    </row>
    <row r="3707">
      <c r="A3707" s="56" t="s">
        <v>3757</v>
      </c>
      <c r="M3707" s="56"/>
    </row>
    <row r="3708">
      <c r="A3708" s="56" t="s">
        <v>932</v>
      </c>
      <c r="M3708" s="56"/>
    </row>
    <row r="3709">
      <c r="M3709" s="56"/>
    </row>
    <row r="3710">
      <c r="A3710" s="56" t="s">
        <v>3758</v>
      </c>
      <c r="M3710" s="56"/>
    </row>
    <row r="3711">
      <c r="M3711" s="56"/>
    </row>
    <row r="3712">
      <c r="A3712" s="56" t="s">
        <v>2985</v>
      </c>
      <c r="M3712" s="56"/>
    </row>
    <row r="3713">
      <c r="A3713" s="56" t="s">
        <v>2986</v>
      </c>
      <c r="M3713" s="56"/>
    </row>
    <row r="3714">
      <c r="A3714" s="56" t="s">
        <v>2987</v>
      </c>
      <c r="M3714" s="56"/>
    </row>
    <row r="3715">
      <c r="A3715" s="56" t="s">
        <v>932</v>
      </c>
      <c r="M3715" s="56"/>
    </row>
    <row r="3716">
      <c r="A3716" s="56" t="s">
        <v>3113</v>
      </c>
      <c r="M3716" s="56"/>
    </row>
    <row r="3717">
      <c r="M3717" s="56"/>
    </row>
    <row r="3718">
      <c r="A3718" s="56" t="s">
        <v>2990</v>
      </c>
      <c r="M3718" s="56"/>
    </row>
    <row r="3719">
      <c r="A3719" s="56" t="s">
        <v>2991</v>
      </c>
      <c r="M3719" s="56"/>
    </row>
    <row r="3720">
      <c r="A3720" s="56" t="s">
        <v>2992</v>
      </c>
      <c r="M3720" s="56"/>
    </row>
    <row r="3721">
      <c r="A3721" s="56" t="s">
        <v>2993</v>
      </c>
      <c r="M3721" s="56"/>
    </row>
    <row r="3722">
      <c r="A3722" s="56" t="s">
        <v>2791</v>
      </c>
      <c r="M3722" s="56"/>
    </row>
    <row r="3723">
      <c r="M3723" s="56"/>
    </row>
    <row r="3724">
      <c r="A3724" s="56" t="s">
        <v>3759</v>
      </c>
      <c r="M3724" s="56"/>
    </row>
    <row r="3725">
      <c r="A3725" s="56" t="s">
        <v>2995</v>
      </c>
      <c r="M3725" s="56"/>
    </row>
    <row r="3726">
      <c r="A3726" s="56" t="s">
        <v>2996</v>
      </c>
      <c r="M3726" s="56"/>
    </row>
    <row r="3727">
      <c r="A3727" s="56" t="s">
        <v>2998</v>
      </c>
      <c r="M3727" s="56"/>
    </row>
    <row r="3728">
      <c r="A3728" s="56" t="s">
        <v>2999</v>
      </c>
      <c r="M3728" s="56"/>
    </row>
    <row r="3729">
      <c r="A3729" s="56" t="s">
        <v>932</v>
      </c>
      <c r="M3729" s="56"/>
    </row>
    <row r="3730">
      <c r="M3730" s="56"/>
    </row>
    <row r="3731">
      <c r="A3731" s="56" t="s">
        <v>3000</v>
      </c>
      <c r="M3731" s="56"/>
    </row>
    <row r="3732">
      <c r="A3732" s="56" t="s">
        <v>3002</v>
      </c>
      <c r="M3732" s="56"/>
    </row>
    <row r="3733">
      <c r="A3733" s="56" t="s">
        <v>3003</v>
      </c>
      <c r="M3733" s="56"/>
    </row>
    <row r="3734">
      <c r="M3734" s="56"/>
    </row>
    <row r="3735">
      <c r="A3735" s="56" t="s">
        <v>3006</v>
      </c>
      <c r="M3735" s="56"/>
    </row>
    <row r="3736">
      <c r="A3736" s="56" t="s">
        <v>3760</v>
      </c>
      <c r="M3736" s="56"/>
    </row>
    <row r="3737">
      <c r="A3737" s="56" t="s">
        <v>3007</v>
      </c>
      <c r="M3737" s="56"/>
    </row>
    <row r="3738">
      <c r="A3738" s="56" t="s">
        <v>3761</v>
      </c>
      <c r="M3738" s="56"/>
    </row>
    <row r="3739">
      <c r="A3739" s="56" t="s">
        <v>3009</v>
      </c>
      <c r="M3739" s="56"/>
    </row>
    <row r="3740">
      <c r="A3740" s="56" t="s">
        <v>3010</v>
      </c>
      <c r="M3740" s="56"/>
    </row>
    <row r="3741">
      <c r="A3741" s="56" t="s">
        <v>3762</v>
      </c>
      <c r="M3741" s="56"/>
    </row>
    <row r="3742">
      <c r="A3742" s="56" t="s">
        <v>3011</v>
      </c>
      <c r="M3742" s="56"/>
    </row>
    <row r="3743">
      <c r="A3743" s="56" t="s">
        <v>3763</v>
      </c>
      <c r="M3743" s="56"/>
    </row>
    <row r="3744">
      <c r="A3744" s="56" t="s">
        <v>3009</v>
      </c>
      <c r="M3744" s="56"/>
    </row>
    <row r="3745">
      <c r="A3745" s="56" t="s">
        <v>1944</v>
      </c>
      <c r="M3745" s="56"/>
    </row>
    <row r="3746">
      <c r="A3746" s="56" t="s">
        <v>3764</v>
      </c>
      <c r="M3746" s="56"/>
    </row>
    <row r="3747">
      <c r="A3747" s="56" t="s">
        <v>3765</v>
      </c>
      <c r="M3747" s="56"/>
    </row>
    <row r="3748">
      <c r="A3748" s="56" t="s">
        <v>3766</v>
      </c>
      <c r="M3748" s="56"/>
    </row>
    <row r="3749">
      <c r="A3749" s="56" t="s">
        <v>3017</v>
      </c>
      <c r="M3749" s="56"/>
    </row>
    <row r="3750">
      <c r="A3750" s="56" t="s">
        <v>932</v>
      </c>
      <c r="M3750" s="56"/>
    </row>
    <row r="3751">
      <c r="M3751" s="56"/>
    </row>
    <row r="3752">
      <c r="A3752" s="56" t="s">
        <v>3767</v>
      </c>
      <c r="M3752" s="56"/>
    </row>
    <row r="3753">
      <c r="A3753" s="56" t="s">
        <v>3021</v>
      </c>
      <c r="M3753" s="56"/>
    </row>
    <row r="3754">
      <c r="A3754" s="56" t="s">
        <v>3768</v>
      </c>
      <c r="M3754" s="56"/>
    </row>
    <row r="3755">
      <c r="A3755" s="56" t="s">
        <v>3769</v>
      </c>
      <c r="M3755" s="56"/>
    </row>
    <row r="3756">
      <c r="A3756" s="56" t="s">
        <v>3023</v>
      </c>
      <c r="M3756" s="56"/>
    </row>
    <row r="3757">
      <c r="A3757" s="56" t="s">
        <v>3024</v>
      </c>
      <c r="M3757" s="56"/>
    </row>
    <row r="3758">
      <c r="A3758" s="56" t="s">
        <v>3025</v>
      </c>
      <c r="M3758" s="56"/>
    </row>
    <row r="3759">
      <c r="A3759" s="56" t="s">
        <v>3026</v>
      </c>
      <c r="M3759" s="56"/>
    </row>
    <row r="3760">
      <c r="A3760" s="56" t="s">
        <v>3027</v>
      </c>
      <c r="M3760" s="56"/>
    </row>
    <row r="3761">
      <c r="A3761" s="56" t="s">
        <v>932</v>
      </c>
      <c r="M3761" s="56"/>
    </row>
    <row r="3762">
      <c r="M3762" s="56"/>
    </row>
    <row r="3763">
      <c r="A3763" s="56" t="s">
        <v>3770</v>
      </c>
      <c r="M3763" s="56"/>
    </row>
    <row r="3764">
      <c r="A3764" s="56" t="s">
        <v>3029</v>
      </c>
      <c r="M3764" s="56"/>
    </row>
    <row r="3765">
      <c r="A3765" s="56" t="s">
        <v>3030</v>
      </c>
      <c r="M3765" s="56"/>
    </row>
    <row r="3766">
      <c r="M3766" s="56"/>
    </row>
    <row r="3767">
      <c r="A3767" s="56" t="s">
        <v>3031</v>
      </c>
      <c r="M3767" s="56"/>
    </row>
    <row r="3768">
      <c r="A3768" s="56" t="s">
        <v>3033</v>
      </c>
      <c r="M3768" s="56"/>
    </row>
    <row r="3769">
      <c r="M3769" s="56"/>
    </row>
    <row r="3770">
      <c r="A3770" s="56" t="s">
        <v>3036</v>
      </c>
      <c r="M3770" s="56"/>
    </row>
    <row r="3771">
      <c r="A3771" s="56" t="s">
        <v>3038</v>
      </c>
      <c r="M3771" s="56"/>
    </row>
    <row r="3772">
      <c r="A3772" s="56" t="s">
        <v>3039</v>
      </c>
      <c r="M3772" s="56"/>
    </row>
    <row r="3773">
      <c r="A3773" s="56" t="s">
        <v>3040</v>
      </c>
      <c r="M3773" s="56"/>
    </row>
    <row r="3774">
      <c r="A3774" s="56" t="s">
        <v>3771</v>
      </c>
      <c r="M3774" s="56"/>
    </row>
    <row r="3775">
      <c r="A3775" s="56" t="s">
        <v>3042</v>
      </c>
      <c r="M3775" s="56"/>
    </row>
    <row r="3776">
      <c r="A3776" s="56" t="s">
        <v>3043</v>
      </c>
      <c r="M3776" s="56"/>
    </row>
    <row r="3777">
      <c r="A3777" s="56" t="s">
        <v>3772</v>
      </c>
      <c r="M3777" s="56"/>
    </row>
    <row r="3778">
      <c r="A3778" s="56" t="s">
        <v>3045</v>
      </c>
      <c r="M3778" s="56"/>
    </row>
    <row r="3779">
      <c r="A3779" s="56" t="s">
        <v>3043</v>
      </c>
      <c r="M3779" s="56"/>
    </row>
    <row r="3780">
      <c r="A3780" s="56" t="s">
        <v>3773</v>
      </c>
      <c r="M3780" s="56"/>
    </row>
    <row r="3781">
      <c r="A3781" s="56" t="s">
        <v>1944</v>
      </c>
      <c r="M3781" s="56"/>
    </row>
    <row r="3782">
      <c r="A3782" s="56" t="s">
        <v>3043</v>
      </c>
      <c r="M3782" s="56"/>
    </row>
    <row r="3783">
      <c r="A3783" s="56" t="s">
        <v>3774</v>
      </c>
      <c r="M3783" s="56"/>
    </row>
    <row r="3784">
      <c r="A3784" s="56" t="s">
        <v>932</v>
      </c>
      <c r="M3784" s="56"/>
    </row>
    <row r="3785">
      <c r="A3785" s="56" t="s">
        <v>932</v>
      </c>
      <c r="M3785" s="56"/>
    </row>
    <row r="3786">
      <c r="M3786" s="56"/>
    </row>
    <row r="3787">
      <c r="A3787" s="56" t="s">
        <v>3775</v>
      </c>
      <c r="M3787" s="56"/>
    </row>
    <row r="3788">
      <c r="A3788" s="56" t="s">
        <v>3054</v>
      </c>
      <c r="M3788" s="56"/>
    </row>
    <row r="3789">
      <c r="A3789" s="56" t="s">
        <v>3056</v>
      </c>
      <c r="M3789" s="56"/>
    </row>
    <row r="3790">
      <c r="A3790" s="56" t="s">
        <v>3058</v>
      </c>
      <c r="M3790" s="56"/>
    </row>
    <row r="3791">
      <c r="A3791" s="56" t="s">
        <v>3060</v>
      </c>
      <c r="M3791" s="56"/>
    </row>
    <row r="3792">
      <c r="A3792" s="56" t="s">
        <v>3776</v>
      </c>
      <c r="M3792" s="56"/>
    </row>
    <row r="3793">
      <c r="A3793" s="56" t="s">
        <v>3777</v>
      </c>
      <c r="M3793" s="56"/>
    </row>
    <row r="3794">
      <c r="A3794" s="56" t="s">
        <v>3063</v>
      </c>
      <c r="M3794" s="56"/>
    </row>
    <row r="3795">
      <c r="A3795" s="56" t="s">
        <v>3065</v>
      </c>
      <c r="M3795" s="56"/>
    </row>
    <row r="3796">
      <c r="A3796" s="56" t="s">
        <v>3067</v>
      </c>
      <c r="M3796" s="56"/>
    </row>
    <row r="3797">
      <c r="A3797" s="56" t="s">
        <v>3069</v>
      </c>
      <c r="M3797" s="56"/>
    </row>
    <row r="3798">
      <c r="A3798" s="56" t="s">
        <v>3071</v>
      </c>
      <c r="M3798" s="56"/>
    </row>
    <row r="3799">
      <c r="A3799" s="56" t="s">
        <v>932</v>
      </c>
      <c r="M3799" s="56"/>
    </row>
    <row r="3800">
      <c r="A3800" s="56" t="s">
        <v>3778</v>
      </c>
      <c r="M3800" s="56"/>
    </row>
    <row r="3801">
      <c r="A3801" s="56" t="s">
        <v>3074</v>
      </c>
      <c r="M3801" s="56"/>
    </row>
    <row r="3802">
      <c r="A3802" s="56" t="s">
        <v>932</v>
      </c>
      <c r="M3802" s="56"/>
    </row>
    <row r="3803">
      <c r="A3803" s="56" t="s">
        <v>3076</v>
      </c>
      <c r="M3803" s="56"/>
    </row>
    <row r="3804">
      <c r="A3804" s="56" t="s">
        <v>2991</v>
      </c>
      <c r="M3804" s="56"/>
    </row>
    <row r="3805">
      <c r="A3805" s="56" t="s">
        <v>2791</v>
      </c>
      <c r="M3805" s="56"/>
    </row>
    <row r="3806">
      <c r="A3806" s="56" t="s">
        <v>3021</v>
      </c>
      <c r="M3806" s="56"/>
    </row>
    <row r="3807">
      <c r="A3807" s="56" t="s">
        <v>2844</v>
      </c>
      <c r="M3807" s="56"/>
    </row>
    <row r="3808">
      <c r="A3808" s="56" t="s">
        <v>3080</v>
      </c>
      <c r="M3808" s="56"/>
    </row>
    <row r="3809">
      <c r="A3809" s="56" t="s">
        <v>3082</v>
      </c>
      <c r="M3809" s="56"/>
    </row>
    <row r="3810">
      <c r="A3810" s="56" t="s">
        <v>3084</v>
      </c>
      <c r="M3810" s="56"/>
    </row>
    <row r="3811">
      <c r="A3811" s="56" t="s">
        <v>2945</v>
      </c>
      <c r="M3811" s="56"/>
    </row>
    <row r="3812">
      <c r="A3812" s="56" t="s">
        <v>3086</v>
      </c>
      <c r="M3812" s="56"/>
    </row>
    <row r="3813">
      <c r="A3813" s="56" t="s">
        <v>3087</v>
      </c>
      <c r="M3813" s="56"/>
    </row>
    <row r="3814">
      <c r="A3814" s="56" t="s">
        <v>932</v>
      </c>
      <c r="M3814" s="56"/>
    </row>
    <row r="3815">
      <c r="A3815" s="56" t="s">
        <v>3088</v>
      </c>
      <c r="M3815" s="56"/>
    </row>
    <row r="3816">
      <c r="A3816" s="56" t="s">
        <v>3023</v>
      </c>
      <c r="M3816" s="56"/>
    </row>
    <row r="3817">
      <c r="A3817" s="56" t="s">
        <v>3089</v>
      </c>
      <c r="M3817" s="56"/>
    </row>
    <row r="3818">
      <c r="A3818" s="56" t="s">
        <v>3091</v>
      </c>
      <c r="M3818" s="56"/>
    </row>
    <row r="3819">
      <c r="A3819" s="56" t="s">
        <v>932</v>
      </c>
      <c r="M3819" s="56"/>
    </row>
    <row r="3820">
      <c r="A3820" s="56" t="s">
        <v>3092</v>
      </c>
      <c r="M3820" s="56"/>
    </row>
    <row r="3821">
      <c r="A3821" s="56" t="s">
        <v>3093</v>
      </c>
      <c r="M3821" s="56"/>
    </row>
    <row r="3822">
      <c r="A3822" s="56" t="s">
        <v>3094</v>
      </c>
      <c r="M3822" s="56"/>
    </row>
    <row r="3823">
      <c r="A3823" s="56" t="s">
        <v>3095</v>
      </c>
      <c r="M3823" s="56"/>
    </row>
    <row r="3824">
      <c r="A3824" s="56" t="s">
        <v>3097</v>
      </c>
      <c r="M3824" s="56"/>
    </row>
    <row r="3825">
      <c r="A3825" s="56" t="s">
        <v>932</v>
      </c>
      <c r="M3825" s="56"/>
    </row>
    <row r="3826">
      <c r="A3826" s="56" t="s">
        <v>3098</v>
      </c>
      <c r="M3826" s="56"/>
    </row>
    <row r="3827">
      <c r="A3827" s="56" t="s">
        <v>3779</v>
      </c>
      <c r="M3827" s="56"/>
    </row>
    <row r="3828">
      <c r="A3828" s="56" t="s">
        <v>1929</v>
      </c>
      <c r="M3828" s="56"/>
    </row>
    <row r="3829">
      <c r="A3829" s="56" t="s">
        <v>1930</v>
      </c>
      <c r="M3829" s="56"/>
    </row>
    <row r="3830">
      <c r="A3830" s="56" t="s">
        <v>3780</v>
      </c>
      <c r="M3830" s="56"/>
    </row>
    <row r="3831">
      <c r="A3831" s="56" t="s">
        <v>2514</v>
      </c>
      <c r="M3831" s="56"/>
    </row>
    <row r="3832">
      <c r="A3832" s="56" t="s">
        <v>3781</v>
      </c>
      <c r="M3832" s="56"/>
    </row>
    <row r="3833">
      <c r="A3833" s="56" t="s">
        <v>3105</v>
      </c>
      <c r="M3833" s="56"/>
    </row>
    <row r="3834">
      <c r="A3834" s="56" t="s">
        <v>3782</v>
      </c>
      <c r="M3834" s="56"/>
    </row>
    <row r="3835">
      <c r="A3835" s="56" t="s">
        <v>1946</v>
      </c>
      <c r="M3835" s="56"/>
    </row>
    <row r="3836">
      <c r="A3836" s="56" t="s">
        <v>3783</v>
      </c>
      <c r="M3836" s="56"/>
    </row>
    <row r="3837">
      <c r="A3837" s="56" t="s">
        <v>3111</v>
      </c>
      <c r="M3837" s="56"/>
    </row>
    <row r="3838">
      <c r="A3838" s="56" t="s">
        <v>932</v>
      </c>
      <c r="M3838" s="56"/>
    </row>
    <row r="3839">
      <c r="M3839" s="56"/>
    </row>
    <row r="3840">
      <c r="A3840" s="56" t="s">
        <v>3784</v>
      </c>
      <c r="M3840" s="56"/>
    </row>
    <row r="3841">
      <c r="A3841" s="56" t="s">
        <v>3114</v>
      </c>
      <c r="M3841" s="56"/>
    </row>
    <row r="3842">
      <c r="A3842" s="56" t="s">
        <v>1929</v>
      </c>
      <c r="M3842" s="56"/>
    </row>
    <row r="3843">
      <c r="A3843" s="56" t="s">
        <v>3785</v>
      </c>
      <c r="M3843" s="56"/>
    </row>
    <row r="3844">
      <c r="A3844" s="56" t="s">
        <v>3786</v>
      </c>
      <c r="M3844" s="56"/>
    </row>
    <row r="3845">
      <c r="A3845" s="56" t="s">
        <v>3787</v>
      </c>
      <c r="M3845" s="56"/>
    </row>
    <row r="3846">
      <c r="A3846" s="56" t="s">
        <v>1946</v>
      </c>
      <c r="M3846" s="56"/>
    </row>
    <row r="3847">
      <c r="A3847" s="56" t="s">
        <v>3117</v>
      </c>
      <c r="M3847" s="56"/>
    </row>
    <row r="3848">
      <c r="A3848" s="56" t="s">
        <v>3118</v>
      </c>
      <c r="M3848" s="56"/>
    </row>
    <row r="3849">
      <c r="A3849" s="56" t="s">
        <v>932</v>
      </c>
      <c r="M3849" s="56"/>
    </row>
    <row r="3850">
      <c r="A3850" s="56" t="s">
        <v>3122</v>
      </c>
      <c r="M3850" s="56"/>
    </row>
    <row r="3851">
      <c r="A3851" s="56" t="s">
        <v>3123</v>
      </c>
      <c r="M3851" s="56"/>
    </row>
    <row r="3852">
      <c r="A3852" s="64" t="s">
        <v>3788</v>
      </c>
      <c r="M3852" s="56"/>
    </row>
    <row r="3853">
      <c r="A3853" s="69" t="str">
        <f>+'&lt;div class="kpi green"&gt;&lt;div class="kpi-label"&gt;Received&lt;/div&gt;&lt;div class="kpi-value"&gt;'+s.received_count+'&lt;/div&gt;&lt;div class="kpi-sub"&gt;'+s.total_received+' good pieces total&lt;/div&gt;&lt;/div&gt;'</f>
        <v>#ERROR!</v>
      </c>
      <c r="M3853" s="56"/>
    </row>
    <row r="3854">
      <c r="A3854" s="69" t="str">
        <f>+'&lt;div class="kpi blue"&gt;&lt;div class="kpi-label"&gt;Efficiency&lt;/div&gt;&lt;div class="kpi-value"&gt;'+s.efficiency+'%&lt;/div&gt;&lt;div class="kpi-sub"&gt;actual ÷ estimated overall&lt;/div&gt;&lt;/div&gt;'</f>
        <v>#ERROR!</v>
      </c>
      <c r="M3854" s="56"/>
    </row>
    <row r="3855">
      <c r="A3855" s="69" t="str">
        <f>+'&lt;div class="kpi '+(s.total_loss&gt;0?'red':'green')+'"&gt;&lt;div class="kpi-label"&gt;Total Loss&lt;/div&gt;&lt;div class="kpi-value"&gt;'+s.total_loss+'&lt;/div&gt;&lt;div class="kpi-sub"&gt;across '+s.total_batches+' batches&lt;/div&gt;&lt;/div&gt;';</f>
        <v>#ERROR!</v>
      </c>
      <c r="M3855" s="56"/>
    </row>
    <row r="3856">
      <c r="A3856" s="56" t="s">
        <v>932</v>
      </c>
      <c r="M3856" s="56"/>
    </row>
    <row r="3857">
      <c r="M3857" s="56"/>
    </row>
    <row r="3858">
      <c r="A3858" s="56" t="s">
        <v>3132</v>
      </c>
      <c r="M3858" s="56"/>
    </row>
    <row r="3859">
      <c r="A3859" s="56" t="s">
        <v>3133</v>
      </c>
      <c r="M3859" s="56"/>
    </row>
    <row r="3860">
      <c r="A3860" s="56" t="s">
        <v>3789</v>
      </c>
      <c r="M3860" s="56"/>
    </row>
    <row r="3861">
      <c r="A3861" s="56" t="s">
        <v>3135</v>
      </c>
      <c r="M3861" s="56"/>
    </row>
    <row r="3862">
      <c r="A3862" s="56" t="s">
        <v>1929</v>
      </c>
      <c r="M3862" s="56"/>
    </row>
    <row r="3863">
      <c r="A3863" s="56" t="s">
        <v>3137</v>
      </c>
      <c r="M3863" s="56"/>
    </row>
    <row r="3864">
      <c r="A3864" s="56" t="s">
        <v>3138</v>
      </c>
      <c r="M3864" s="56"/>
    </row>
    <row r="3865">
      <c r="A3865" s="56" t="s">
        <v>3139</v>
      </c>
      <c r="M3865" s="56"/>
    </row>
    <row r="3866">
      <c r="A3866" s="56" t="s">
        <v>932</v>
      </c>
      <c r="M3866" s="56"/>
    </row>
    <row r="3867">
      <c r="A3867" s="56" t="s">
        <v>3140</v>
      </c>
      <c r="M3867" s="56"/>
    </row>
    <row r="3868">
      <c r="A3868" s="56" t="s">
        <v>3790</v>
      </c>
      <c r="M3868" s="56"/>
    </row>
    <row r="3869">
      <c r="A3869" s="56" t="s">
        <v>3142</v>
      </c>
      <c r="M3869" s="56"/>
    </row>
    <row r="3870">
      <c r="A3870" s="56" t="s">
        <v>3791</v>
      </c>
      <c r="M3870" s="56"/>
    </row>
    <row r="3871">
      <c r="A3871" s="56" t="s">
        <v>3146</v>
      </c>
      <c r="M3871" s="56"/>
    </row>
    <row r="3872">
      <c r="A3872" s="56" t="s">
        <v>3147</v>
      </c>
      <c r="M3872" s="56"/>
    </row>
    <row r="3873">
      <c r="A3873" s="56" t="s">
        <v>3148</v>
      </c>
      <c r="M3873" s="56"/>
    </row>
    <row r="3874">
      <c r="A3874" s="56" t="s">
        <v>3792</v>
      </c>
      <c r="M3874" s="56"/>
    </row>
    <row r="3875">
      <c r="A3875" s="56" t="s">
        <v>3793</v>
      </c>
      <c r="M3875" s="56"/>
    </row>
    <row r="3876">
      <c r="A3876" s="69" t="str">
        <v>#ERROR!</v>
      </c>
      <c r="M3876" s="56"/>
    </row>
    <row r="3877">
      <c r="A3877" s="69" t="str">
        <f>+'&lt;td&gt;'+esc(r.master)+'&lt;/td&gt;'</f>
        <v>#ERROR!</v>
      </c>
      <c r="M3877" s="56"/>
    </row>
    <row r="3878">
      <c r="A3878" s="69" t="str">
        <f>+'&lt;td style="font-size:12px;"&gt;'+esc(r.fabric_name)+'&lt;/td&gt;'</f>
        <v>#ERROR!</v>
      </c>
      <c r="M3878" s="56"/>
    </row>
    <row r="3879">
      <c r="A3879" s="69" t="str">
        <f>+'&lt;td class="mono" style="text-align:right;"&gt;'+r.meters_issued+'&lt;/td&gt;'</f>
        <v>#ERROR!</v>
      </c>
      <c r="M3879" s="56"/>
    </row>
    <row r="3880">
      <c r="A3880" s="69" t="str">
        <f>+'&lt;td class="mono" style="font-size:11px;max-width:120px;overflow:hidden;text-overflow:ellipsis;white-space:nowrap;"&gt;'+esc(styles)+'&lt;/td&gt;'</f>
        <v>#ERROR!</v>
      </c>
      <c r="M3880" s="56"/>
    </row>
    <row r="3881">
      <c r="A3881" s="69" t="str">
        <f>+'&lt;td class="mono" style="text-align:right;font-weight:600;"&gt;'+r.est_total+'&lt;/td&gt;'</f>
        <v>#ERROR!</v>
      </c>
      <c r="M3881" s="56"/>
    </row>
    <row r="3882">
      <c r="A3882" s="69" t="str">
        <f>+'&lt;td class="mono" style="text-align:right;font-weight:600;color:var(--green);"&gt;'+(r.act_total||'—')+'&lt;/td&gt;'</f>
        <v>#ERROR!</v>
      </c>
      <c r="M3882" s="56"/>
    </row>
    <row r="3883">
      <c r="A3883" s="69" t="str">
        <f>+'&lt;td class="mono" style="text-align:right;font-weight:600;color:'+lossColor+';"&gt;'+(r.total_loss||'—')+'&lt;/td&gt;'</f>
        <v>#ERROR!</v>
      </c>
      <c r="M3883" s="56"/>
    </row>
    <row r="3884">
      <c r="A3884" s="69" t="str">
        <f>+'&lt;td&gt;&lt;span class="badge '+(statusCls[r.status]||'')+'"&gt;'+r.status+'&lt;/span&gt;&lt;/td&gt;'</f>
        <v>#ERROR!</v>
      </c>
      <c r="M3884" s="56"/>
    </row>
    <row r="3885">
      <c r="A3885" s="69" t="str">
        <f>+'&lt;td class="mono" style="font-size:11px;"&gt;'+r.created_at.split(' ')[0]+'&lt;/td&gt;'</f>
        <v>#ERROR!</v>
      </c>
      <c r="M3885" s="56"/>
    </row>
    <row r="3886">
      <c r="A3886" s="69" t="str">
        <f>+'&lt;td style="text-align:center;"&gt;&lt;svg width="14" height="14" fill="none" stroke="var(--muted)" viewBox="0 0 24 24" style="opacity:.5;"&gt;&lt;path d="M9 18l6-6-6-6"/&gt;&lt;/svg&gt;&lt;/td&gt;'</f>
        <v>#ERROR!</v>
      </c>
      <c r="M3886" s="56"/>
    </row>
    <row r="3887">
      <c r="A3887" s="69" t="str">
        <f>+'&lt;/tr&gt;';</f>
        <v>#ERROR!</v>
      </c>
      <c r="M3887" s="56"/>
    </row>
    <row r="3888">
      <c r="A3888" s="56" t="s">
        <v>932</v>
      </c>
      <c r="M3888" s="56"/>
    </row>
    <row r="3889">
      <c r="A3889" s="56" t="s">
        <v>2218</v>
      </c>
      <c r="M3889" s="56"/>
    </row>
    <row r="3890">
      <c r="A3890" s="56" t="s">
        <v>3172</v>
      </c>
      <c r="M3890" s="56"/>
    </row>
    <row r="3891">
      <c r="A3891" s="56" t="s">
        <v>932</v>
      </c>
      <c r="M3891" s="56"/>
    </row>
    <row r="3892">
      <c r="M3892" s="56"/>
    </row>
    <row r="3893">
      <c r="A3893" s="56" t="s">
        <v>3794</v>
      </c>
      <c r="M3893" s="56"/>
    </row>
    <row r="3894">
      <c r="A3894" s="56" t="s">
        <v>3175</v>
      </c>
      <c r="M3894" s="56"/>
    </row>
    <row r="3895">
      <c r="A3895" s="56" t="s">
        <v>3176</v>
      </c>
      <c r="M3895" s="56"/>
    </row>
    <row r="3896">
      <c r="A3896" s="56" t="s">
        <v>3178</v>
      </c>
      <c r="M3896" s="56"/>
    </row>
    <row r="3897">
      <c r="A3897" s="56" t="s">
        <v>3179</v>
      </c>
      <c r="M3897" s="56"/>
    </row>
    <row r="3898">
      <c r="A3898" s="56" t="s">
        <v>2791</v>
      </c>
      <c r="M3898" s="56"/>
    </row>
    <row r="3899">
      <c r="A3899" s="56" t="s">
        <v>3142</v>
      </c>
      <c r="M3899" s="56"/>
    </row>
    <row r="3900">
      <c r="M3900" s="56"/>
    </row>
    <row r="3901">
      <c r="A3901" s="56" t="s">
        <v>3549</v>
      </c>
      <c r="M3901" s="56"/>
    </row>
    <row r="3902">
      <c r="A3902" s="69" t="str">
        <f>+'&lt;div&gt;&lt;div class="mono" style="font-size:14px;font-weight:600;color:var(--blue);"&gt;'+r.req_id+'&lt;/div&gt;'</f>
        <v>#ERROR!</v>
      </c>
      <c r="M3902" s="56"/>
    </row>
    <row r="3903">
      <c r="A3903" s="69" t="str">
        <f>+'&lt;div style="font-size:12px;color:var(--muted);margin-top:2px;"&gt;Created: '+r.created_at+'&lt;/div&gt;&lt;/div&gt;'</f>
        <v>#ERROR!</v>
      </c>
      <c r="M3903" s="56"/>
    </row>
    <row r="3904">
      <c r="A3904" s="69" t="str">
        <f>+'&lt;span class="badge '+(statusCls[r.status]||'')+'"&gt;'+r.status+'&lt;/span&gt;&lt;/div&gt;';</f>
        <v>#ERROR!</v>
      </c>
      <c r="M3904" s="56"/>
    </row>
    <row r="3905">
      <c r="M3905" s="56"/>
    </row>
    <row r="3906">
      <c r="A3906" s="56" t="s">
        <v>3795</v>
      </c>
      <c r="M3906" s="56"/>
    </row>
    <row r="3907">
      <c r="A3907" s="56" t="s">
        <v>3796</v>
      </c>
      <c r="M3907" s="56"/>
    </row>
    <row r="3908">
      <c r="A3908" s="69" t="str">
        <f>+'&lt;div style="background:var(--surface2);padding:10px 14px;border-radius:8px;"&gt;&lt;div style="font-size:10px;color:var(--muted);text-transform:uppercase;letter-spacing:.5px;"&gt;Master&lt;/div&gt;&lt;div style="font-weight:600;margin-top:2px;"&gt;'+esc(r.master)+'&lt;/div&gt;&lt;/div&gt;'</f>
        <v>#ERROR!</v>
      </c>
      <c r="M3908" s="56"/>
    </row>
    <row r="3909">
      <c r="A3909" s="69" t="str">
        <f>+'&lt;div style="background:var(--surface2);padding:10px 14px;border-radius:8px;"&gt;&lt;div style="font-size:10px;color:var(--muted);text-transform:uppercase;letter-spacing:.5px;"&gt;Fabric&lt;/div&gt;&lt;div style="font-weight:600;margin-top:2px;"&gt;'+esc(r.fabric_name)+'&lt;/div&gt;&lt;/div&gt;'</f>
        <v>#ERROR!</v>
      </c>
      <c r="M3909" s="56"/>
    </row>
    <row r="3910">
      <c r="A3910" s="69" t="str">
        <f>+'&lt;div style="background:var(--surface2);padding:10px 14px;border-radius:8px;"&gt;&lt;div style="font-size:10px;color:var(--muted);text-transform:uppercase;letter-spacing:.5px;"&gt;Meters Issued&lt;/div&gt;&lt;div class="mono" style="font-weight:600;margin-top:2px;"&gt;'+r.meters_issued+' mtrs&lt;/div&gt;&lt;/div&gt;'</f>
        <v>#ERROR!</v>
      </c>
      <c r="M3910" s="56"/>
    </row>
    <row r="3911">
      <c r="A3911" s="69" t="str">
        <f>+'&lt;/div&gt;';</f>
        <v>#ERROR!</v>
      </c>
      <c r="M3911" s="56"/>
    </row>
    <row r="3912">
      <c r="M3912" s="56"/>
    </row>
    <row r="3913">
      <c r="A3913" s="56" t="s">
        <v>3797</v>
      </c>
      <c r="M3913" s="56"/>
    </row>
    <row r="3914">
      <c r="A3914" s="56" t="s">
        <v>3205</v>
      </c>
      <c r="M3914" s="56"/>
    </row>
    <row r="3915">
      <c r="A3915" s="56" t="s">
        <v>3206</v>
      </c>
      <c r="M3915" s="56"/>
    </row>
    <row r="3916">
      <c r="A3916" s="56" t="s">
        <v>3207</v>
      </c>
      <c r="M3916" s="56"/>
    </row>
    <row r="3917">
      <c r="A3917" s="56" t="s">
        <v>3798</v>
      </c>
      <c r="M3917" s="56"/>
    </row>
    <row r="3918">
      <c r="A3918" s="69" t="str">
        <f>+'&lt;div style="text-align:center;padding:10px;background:var(--amber-l);border-radius:8px;"&gt;&lt;div style="font-size:10px;color:var(--muted);"&gt;Estimated&lt;/div&gt;&lt;div class="mono" style="font-size:18px;font-weight:700;color:var(--amber);"&gt;'+r.est_total+'&lt;/div&gt;&lt;/div&gt;'</f>
        <v>#ERROR!</v>
      </c>
      <c r="M3918" s="56"/>
    </row>
    <row r="3919">
      <c r="A3919" s="69" t="str">
        <f>+'&lt;div style="text-align:center;padding:10px;background:var(--green-s);border-radius:8px;"&gt;&lt;div style="font-size:10px;color:var(--muted);"&gt;Received&lt;/div&gt;&lt;div class="mono" style="font-size:18px;font-weight:700;color:var(--green);"&gt;'+r.act_total+'&lt;/div&gt;&lt;/div&gt;'</f>
        <v>#ERROR!</v>
      </c>
      <c r="M3919" s="56"/>
    </row>
    <row r="3920">
      <c r="A3920" s="69" t="str">
        <f>+'&lt;div style="text-align:center;padding:10px;background:var(--red-s);border-radius:8px;"&gt;&lt;div style="font-size:10px;color:var(--muted);"&gt;Lost&lt;/div&gt;&lt;div class="mono" style="font-size:18px;font-weight:700;color:var(--red);"&gt;'+r.total_loss+'&lt;/div&gt;&lt;/div&gt;'</f>
        <v>#ERROR!</v>
      </c>
      <c r="M3920" s="56"/>
    </row>
    <row r="3921">
      <c r="A3921" s="69" t="str">
        <f>+'&lt;div style="text-align:center;padding:10px;background:var(--surface2);border-radius:8px;"&gt;&lt;div style="font-size:10px;color:var(--muted);"&gt;Efficiency&lt;/div&gt;&lt;div class="mono" style="font-size:18px;font-weight:700;color:'+effColor+';"&gt;'+eff+'%&lt;/div&gt;&lt;/div&gt;'</f>
        <v>#ERROR!</v>
      </c>
      <c r="M3921" s="56"/>
    </row>
    <row r="3922">
      <c r="A3922" s="69" t="str">
        <f>+'&lt;/div&gt;';</f>
        <v>#ERROR!</v>
      </c>
      <c r="M3922" s="56"/>
    </row>
    <row r="3923">
      <c r="A3923" s="56" t="s">
        <v>932</v>
      </c>
      <c r="M3923" s="56"/>
    </row>
    <row r="3924">
      <c r="M3924" s="56"/>
    </row>
    <row r="3925">
      <c r="A3925" s="56" t="s">
        <v>3799</v>
      </c>
      <c r="M3925" s="56"/>
    </row>
    <row r="3926">
      <c r="A3926" s="56" t="s">
        <v>2929</v>
      </c>
      <c r="M3926" s="56"/>
    </row>
    <row r="3927">
      <c r="A3927" s="56" t="s">
        <v>2931</v>
      </c>
      <c r="M3927" s="56"/>
    </row>
    <row r="3928">
      <c r="A3928" s="56" t="s">
        <v>3800</v>
      </c>
      <c r="M3928" s="56"/>
    </row>
    <row r="3929">
      <c r="A3929" s="69" t="str">
        <f>+'&lt;div style="background:var(--surface2);padding:8px 14px;display:flex;justify-content:space-between;align-items:center;"&gt;'</f>
        <v>#ERROR!</v>
      </c>
      <c r="M3929" s="56"/>
    </row>
    <row r="3930">
      <c r="A3930" s="69" t="str">
        <f>+'&lt;div&gt;&lt;span class="mono" style="color:var(--blue);font-weight:600;"&gt;'+esc(it.style_no)+'&lt;/span&gt; · '+esc(it.product_name)+'&lt;/div&gt;'</f>
        <v>#ERROR!</v>
      </c>
      <c r="M3930" s="56"/>
    </row>
    <row r="3931">
      <c r="A3931" s="69" t="str">
        <f>+'&lt;div class="mono" style="font-size:12px;"&gt;Est: &lt;strong style="color:var(--amber);"&gt;'+it.est_total+'&lt;/strong&gt;'</f>
        <v>#ERROR!</v>
      </c>
      <c r="M3931" s="56"/>
    </row>
    <row r="3932">
      <c r="A3932" s="69" t="str">
        <f>+(r.status==='RECEIVED'?' → Got: &lt;strong style="color:var(--green);"&gt;'+it.act_total+'&lt;/strong&gt;':'')</f>
        <v>#ERROR!</v>
      </c>
      <c r="M3932" s="56"/>
    </row>
    <row r="3933">
      <c r="A3933" s="69" t="str">
        <f>+'&lt;/div&gt;&lt;/div&gt;';</f>
        <v>#ERROR!</v>
      </c>
      <c r="M3933" s="56"/>
    </row>
    <row r="3934">
      <c r="M3934" s="56"/>
    </row>
    <row r="3935">
      <c r="A3935" s="56" t="s">
        <v>3801</v>
      </c>
      <c r="M3935" s="56"/>
    </row>
    <row r="3936">
      <c r="A3936" s="56" t="s">
        <v>3802</v>
      </c>
      <c r="M3936" s="56"/>
    </row>
    <row r="3937">
      <c r="A3937" s="56" t="s">
        <v>3803</v>
      </c>
      <c r="M3937" s="56"/>
    </row>
    <row r="3938">
      <c r="A3938" s="56" t="s">
        <v>3804</v>
      </c>
      <c r="M3938" s="56"/>
    </row>
    <row r="3939">
      <c r="A3939" s="56" t="s">
        <v>3805</v>
      </c>
      <c r="M3939" s="56"/>
    </row>
    <row r="3940">
      <c r="A3940" s="56" t="s">
        <v>3806</v>
      </c>
      <c r="M3940" s="56"/>
    </row>
    <row r="3941">
      <c r="A3941" s="56" t="s">
        <v>3807</v>
      </c>
      <c r="M3941" s="56"/>
    </row>
    <row r="3942">
      <c r="A3942" s="56" t="s">
        <v>3808</v>
      </c>
      <c r="M3942" s="56"/>
    </row>
    <row r="3943">
      <c r="A3943" s="56" t="s">
        <v>3205</v>
      </c>
      <c r="M3943" s="56"/>
    </row>
    <row r="3944">
      <c r="A3944" s="56" t="s">
        <v>3809</v>
      </c>
      <c r="M3944" s="56"/>
    </row>
    <row r="3945">
      <c r="A3945" s="56" t="s">
        <v>3810</v>
      </c>
      <c r="M3945" s="56"/>
    </row>
    <row r="3946">
      <c r="A3946" s="56" t="s">
        <v>3811</v>
      </c>
      <c r="M3946" s="56"/>
    </row>
    <row r="3947">
      <c r="A3947" s="56" t="s">
        <v>3812</v>
      </c>
      <c r="M3947" s="56"/>
    </row>
    <row r="3948">
      <c r="A3948" s="56" t="s">
        <v>3245</v>
      </c>
      <c r="M3948" s="56"/>
    </row>
    <row r="3949">
      <c r="A3949" s="56" t="s">
        <v>3246</v>
      </c>
      <c r="M3949" s="56"/>
    </row>
    <row r="3950">
      <c r="A3950" s="56" t="s">
        <v>3247</v>
      </c>
      <c r="M3950" s="56"/>
    </row>
    <row r="3951">
      <c r="A3951" s="56" t="s">
        <v>3248</v>
      </c>
      <c r="M3951" s="56"/>
    </row>
    <row r="3952">
      <c r="A3952" s="56" t="s">
        <v>3813</v>
      </c>
      <c r="M3952" s="56"/>
    </row>
    <row r="3953">
      <c r="A3953" s="56" t="s">
        <v>2945</v>
      </c>
      <c r="M3953" s="56"/>
    </row>
    <row r="3954">
      <c r="A3954" s="56" t="s">
        <v>3251</v>
      </c>
      <c r="M3954" s="56"/>
    </row>
    <row r="3955">
      <c r="A3955" s="56" t="s">
        <v>3253</v>
      </c>
      <c r="M3955" s="56"/>
    </row>
    <row r="3956">
      <c r="A3956" s="56" t="s">
        <v>3254</v>
      </c>
      <c r="M3956" s="56"/>
    </row>
    <row r="3957">
      <c r="A3957" s="56" t="s">
        <v>3814</v>
      </c>
      <c r="M3957" s="56"/>
    </row>
    <row r="3958">
      <c r="A3958" s="56" t="s">
        <v>932</v>
      </c>
      <c r="M3958" s="56"/>
    </row>
    <row r="3959">
      <c r="A3959" s="56" t="s">
        <v>3815</v>
      </c>
      <c r="M3959" s="56"/>
    </row>
    <row r="3960">
      <c r="A3960" s="56" t="s">
        <v>932</v>
      </c>
      <c r="M3960" s="56"/>
    </row>
    <row r="3961">
      <c r="A3961" s="56" t="s">
        <v>932</v>
      </c>
      <c r="M3961" s="56"/>
    </row>
    <row r="3962">
      <c r="A3962" s="56" t="s">
        <v>2218</v>
      </c>
      <c r="M3962" s="56"/>
    </row>
    <row r="3963">
      <c r="M3963" s="56"/>
    </row>
    <row r="3964">
      <c r="A3964" s="56" t="s">
        <v>3816</v>
      </c>
      <c r="M3964" s="56"/>
    </row>
    <row r="3965">
      <c r="A3965" s="56" t="s">
        <v>3260</v>
      </c>
      <c r="M3965" s="56"/>
    </row>
    <row r="3966">
      <c r="A3966" s="56" t="s">
        <v>3261</v>
      </c>
      <c r="M3966" s="56"/>
    </row>
    <row r="3967">
      <c r="A3967" s="56" t="s">
        <v>3817</v>
      </c>
      <c r="M3967" s="56"/>
    </row>
    <row r="3968">
      <c r="A3968" s="56" t="s">
        <v>3818</v>
      </c>
      <c r="M3968" s="56"/>
    </row>
    <row r="3969">
      <c r="A3969" s="56" t="s">
        <v>3264</v>
      </c>
      <c r="M3969" s="56"/>
    </row>
    <row r="3970">
      <c r="A3970" s="56" t="s">
        <v>3819</v>
      </c>
      <c r="M3970" s="56"/>
    </row>
    <row r="3971">
      <c r="A3971" s="56" t="s">
        <v>3820</v>
      </c>
      <c r="M3971" s="56"/>
    </row>
    <row r="3972">
      <c r="A3972" s="56" t="s">
        <v>3821</v>
      </c>
      <c r="M3972" s="56"/>
    </row>
    <row r="3973">
      <c r="A3973" s="56" t="s">
        <v>3270</v>
      </c>
      <c r="M3973" s="56"/>
    </row>
    <row r="3974">
      <c r="A3974" s="56" t="s">
        <v>3822</v>
      </c>
      <c r="M3974" s="56"/>
    </row>
    <row r="3975">
      <c r="A3975" s="56" t="s">
        <v>3823</v>
      </c>
      <c r="M3975" s="56"/>
    </row>
    <row r="3976">
      <c r="A3976" s="56" t="s">
        <v>3824</v>
      </c>
      <c r="M3976" s="56"/>
    </row>
    <row r="3977">
      <c r="A3977" s="56" t="s">
        <v>3825</v>
      </c>
      <c r="M3977" s="56"/>
    </row>
    <row r="3978">
      <c r="A3978" s="56" t="s">
        <v>3826</v>
      </c>
      <c r="M3978" s="56"/>
    </row>
    <row r="3979">
      <c r="A3979" s="56" t="s">
        <v>3275</v>
      </c>
      <c r="M3979" s="56"/>
    </row>
    <row r="3980">
      <c r="A3980" s="56" t="s">
        <v>3277</v>
      </c>
      <c r="M3980" s="56"/>
    </row>
    <row r="3981">
      <c r="A3981" s="56" t="s">
        <v>3827</v>
      </c>
      <c r="M3981" s="56"/>
    </row>
    <row r="3982">
      <c r="A3982" s="56" t="s">
        <v>932</v>
      </c>
      <c r="M3982" s="56"/>
    </row>
    <row r="3983">
      <c r="A3983" s="56" t="s">
        <v>3281</v>
      </c>
      <c r="M3983" s="56"/>
    </row>
    <row r="3984">
      <c r="A3984" s="56" t="s">
        <v>3828</v>
      </c>
      <c r="M3984" s="56"/>
    </row>
    <row r="3985">
      <c r="A3985" s="56" t="s">
        <v>3829</v>
      </c>
      <c r="M3985" s="56"/>
    </row>
    <row r="3986">
      <c r="A3986" s="56" t="s">
        <v>3275</v>
      </c>
      <c r="M3986" s="56"/>
    </row>
    <row r="3987">
      <c r="A3987" s="56" t="s">
        <v>3830</v>
      </c>
      <c r="M3987" s="56"/>
    </row>
    <row r="3988">
      <c r="A3988" s="56" t="s">
        <v>932</v>
      </c>
      <c r="M3988" s="56"/>
    </row>
    <row r="3989">
      <c r="A3989" s="56" t="s">
        <v>3281</v>
      </c>
      <c r="M3989" s="56"/>
    </row>
    <row r="3990">
      <c r="A3990" s="56" t="s">
        <v>3831</v>
      </c>
      <c r="M3990" s="56"/>
    </row>
    <row r="3991">
      <c r="A3991" s="56" t="s">
        <v>3282</v>
      </c>
      <c r="M3991" s="56"/>
    </row>
    <row r="3992">
      <c r="A3992" s="56" t="s">
        <v>3283</v>
      </c>
      <c r="M3992" s="56"/>
    </row>
    <row r="3993">
      <c r="A3993" s="56" t="s">
        <v>3284</v>
      </c>
      <c r="M3993" s="56"/>
    </row>
    <row r="3994">
      <c r="A3994" s="56" t="s">
        <v>3832</v>
      </c>
      <c r="M3994" s="56"/>
    </row>
    <row r="3995">
      <c r="A3995" s="69" t="str">
        <f>+'&lt;span style="font-weight:600;color:#991b1b;"&gt;Other loss reason:&lt;/span&gt; '+esc(otherMatch[1].replace(/\s*\|.*$/,''))</f>
        <v>#ERROR!</v>
      </c>
      <c r="M3995" s="56"/>
    </row>
    <row r="3996">
      <c r="A3996" s="69" t="str">
        <f>+'&lt;/div&gt;';</f>
        <v>#ERROR!</v>
      </c>
      <c r="M3996" s="56"/>
    </row>
    <row r="3997">
      <c r="A3997" s="56" t="s">
        <v>932</v>
      </c>
      <c r="M3997" s="56"/>
    </row>
    <row r="3998">
      <c r="A3998" s="56" t="s">
        <v>3281</v>
      </c>
      <c r="M3998" s="56"/>
    </row>
    <row r="3999">
      <c r="A3999" s="56" t="s">
        <v>932</v>
      </c>
      <c r="M3999" s="56"/>
    </row>
    <row r="4000">
      <c r="A4000" s="56" t="s">
        <v>3292</v>
      </c>
      <c r="M4000" s="56"/>
    </row>
    <row r="4001">
      <c r="A4001" s="56" t="s">
        <v>932</v>
      </c>
      <c r="M4001" s="56"/>
    </row>
    <row r="4002">
      <c r="M4002" s="56"/>
    </row>
    <row r="4003">
      <c r="A4003" s="56" t="s">
        <v>3833</v>
      </c>
      <c r="M4003" s="56"/>
    </row>
    <row r="4004">
      <c r="A4004" s="56" t="s">
        <v>3834</v>
      </c>
      <c r="M4004" s="56"/>
    </row>
    <row r="4005">
      <c r="A4005" s="56" t="s">
        <v>3835</v>
      </c>
      <c r="M4005" s="56"/>
    </row>
    <row r="4006">
      <c r="A4006" s="56" t="s">
        <v>3836</v>
      </c>
      <c r="M4006" s="56"/>
    </row>
    <row r="4007">
      <c r="M4007" s="56"/>
    </row>
    <row r="4008">
      <c r="A4008" s="56" t="s">
        <v>3837</v>
      </c>
      <c r="M4008" s="56"/>
    </row>
    <row r="4009">
      <c r="A4009" s="56" t="s">
        <v>3299</v>
      </c>
      <c r="M4009" s="56"/>
    </row>
    <row r="4010">
      <c r="A4010" s="56" t="s">
        <v>3300</v>
      </c>
      <c r="M4010" s="56"/>
    </row>
    <row r="4011">
      <c r="A4011" s="56" t="s">
        <v>3301</v>
      </c>
      <c r="M4011" s="56"/>
    </row>
    <row r="4012">
      <c r="A4012" s="56" t="s">
        <v>3302</v>
      </c>
      <c r="M4012" s="56"/>
    </row>
    <row r="4013">
      <c r="A4013" s="56" t="s">
        <v>3838</v>
      </c>
      <c r="M4013" s="56"/>
    </row>
    <row r="4014">
      <c r="A4014" s="56" t="s">
        <v>3839</v>
      </c>
      <c r="M4014" s="56"/>
    </row>
    <row r="4015">
      <c r="A4015" s="69" t="str">
        <f>+'&lt;div style="padding:14px 20px;background:var(--sb);color:#fff;display:flex;align-items:center;justify-content:space-between;"&gt;'</f>
        <v>#ERROR!</v>
      </c>
      <c r="M4015" s="56"/>
    </row>
    <row r="4016">
      <c r="A4016" s="69" t="str">
        <f>+'&lt;div style="font-weight:600;font-size:15px;"&gt;Requisition Details&lt;/div&gt;'</f>
        <v>#ERROR!</v>
      </c>
      <c r="M4016" s="56"/>
    </row>
    <row r="4017">
      <c r="A4017" s="69" t="str">
        <f>+'&lt;button onclick="document.getElementById(\'req-detail-modal\').style.display=\'none\'" style="background:none;border:none;color:#fff;font-size:22px;cursor:pointer;line-height:1;"&gt;×&lt;/button&gt;&lt;/div&gt;'</f>
        <v>#ERROR!</v>
      </c>
      <c r="M4017" s="56"/>
    </row>
    <row r="4018">
      <c r="A4018" s="69" t="str">
        <f>+'&lt;div id="req-detail-body" style="padding:20px;max-height:70vh;overflow-y:auto;"&gt;&lt;/div&gt;&lt;/div&gt;';</f>
        <v>#ERROR!</v>
      </c>
      <c r="M4018" s="56"/>
    </row>
    <row r="4019">
      <c r="A4019" s="56" t="s">
        <v>3311</v>
      </c>
      <c r="M4019" s="56"/>
    </row>
    <row r="4020">
      <c r="A4020" s="56" t="s">
        <v>932</v>
      </c>
      <c r="M4020" s="56"/>
    </row>
    <row r="4021">
      <c r="A4021" s="56" t="s">
        <v>3314</v>
      </c>
      <c r="M4021" s="56"/>
    </row>
    <row r="4022">
      <c r="A4022" s="56" t="s">
        <v>3316</v>
      </c>
      <c r="M4022" s="56"/>
    </row>
    <row r="4023">
      <c r="A4023" s="56" t="s">
        <v>932</v>
      </c>
      <c r="M4023" s="56"/>
    </row>
    <row r="4024">
      <c r="M4024" s="56"/>
    </row>
    <row r="4025">
      <c r="A4025" s="56" t="s">
        <v>3840</v>
      </c>
      <c r="M4025" s="56"/>
    </row>
    <row r="4026">
      <c r="A4026" s="56" t="s">
        <v>3319</v>
      </c>
      <c r="M4026" s="56"/>
    </row>
    <row r="4027">
      <c r="A4027" s="56" t="s">
        <v>3841</v>
      </c>
      <c r="M4027" s="56"/>
    </row>
    <row r="4028">
      <c r="A4028" s="56" t="s">
        <v>1929</v>
      </c>
      <c r="M4028" s="56"/>
    </row>
    <row r="4029">
      <c r="A4029" s="56" t="s">
        <v>3324</v>
      </c>
      <c r="M4029" s="56"/>
    </row>
    <row r="4030">
      <c r="A4030" s="56" t="s">
        <v>3842</v>
      </c>
      <c r="M4030" s="56"/>
    </row>
    <row r="4031">
      <c r="A4031" s="56" t="s">
        <v>3118</v>
      </c>
      <c r="M4031" s="56"/>
    </row>
    <row r="4032">
      <c r="A4032" s="56" t="s">
        <v>932</v>
      </c>
      <c r="M4032" s="56"/>
    </row>
    <row r="4033">
      <c r="A4033" s="56" t="s">
        <v>3327</v>
      </c>
      <c r="M4033" s="56"/>
    </row>
    <row r="4034">
      <c r="A4034" s="56" t="s">
        <v>3843</v>
      </c>
      <c r="M4034" s="56"/>
    </row>
    <row r="4035">
      <c r="A4035" s="56" t="s">
        <v>3330</v>
      </c>
      <c r="M4035" s="56"/>
    </row>
    <row r="4036">
      <c r="A4036" s="56" t="s">
        <v>3332</v>
      </c>
      <c r="M4036" s="56"/>
    </row>
    <row r="4037">
      <c r="A4037" s="56" t="s">
        <v>2957</v>
      </c>
      <c r="M4037" s="56"/>
    </row>
    <row r="4038">
      <c r="A4038" s="56" t="s">
        <v>3844</v>
      </c>
      <c r="M4038" s="56"/>
    </row>
    <row r="4039">
      <c r="A4039" s="56" t="s">
        <v>3845</v>
      </c>
      <c r="M4039" s="56"/>
    </row>
    <row r="4040">
      <c r="A4040" s="56" t="s">
        <v>3846</v>
      </c>
      <c r="M4040" s="56"/>
    </row>
    <row r="4041">
      <c r="A4041" s="56" t="s">
        <v>3847</v>
      </c>
      <c r="M4041" s="56"/>
    </row>
    <row r="4042">
      <c r="A4042" s="56" t="s">
        <v>3848</v>
      </c>
      <c r="M4042" s="56"/>
    </row>
    <row r="4043">
      <c r="A4043" s="56" t="s">
        <v>3849</v>
      </c>
      <c r="M4043" s="56"/>
    </row>
    <row r="4044">
      <c r="A4044" s="56" t="s">
        <v>2967</v>
      </c>
      <c r="M4044" s="56"/>
    </row>
    <row r="4045">
      <c r="A4045" s="56" t="s">
        <v>3346</v>
      </c>
      <c r="M4045" s="56"/>
    </row>
    <row r="4046">
      <c r="A4046" s="56" t="s">
        <v>3850</v>
      </c>
      <c r="M4046" s="56"/>
    </row>
    <row r="4047">
      <c r="A4047" s="56" t="s">
        <v>3351</v>
      </c>
      <c r="M4047" s="56"/>
    </row>
    <row r="4048">
      <c r="A4048" s="56" t="s">
        <v>3352</v>
      </c>
      <c r="M4048" s="56"/>
    </row>
    <row r="4049">
      <c r="A4049" s="56" t="s">
        <v>3353</v>
      </c>
      <c r="M4049" s="56"/>
    </row>
    <row r="4050">
      <c r="A4050" s="56" t="s">
        <v>3851</v>
      </c>
      <c r="M4050" s="56"/>
    </row>
    <row r="4051">
      <c r="A4051" s="69" t="str">
        <f>+'&lt;span style="width:110px;font-size:12px;text-align:right;flex-shrink:0;"&gt;'+r.label+'&lt;/span&gt;'</f>
        <v>#ERROR!</v>
      </c>
      <c r="M4051" s="56"/>
    </row>
    <row r="4052">
      <c r="A4052" s="69" t="str">
        <f>+'&lt;div style="flex:1;height:22px;background:var(--border);border-radius:4px;overflow:hidden;"&gt;'</f>
        <v>#ERROR!</v>
      </c>
      <c r="M4052" s="56"/>
    </row>
    <row r="4053">
      <c r="A4053" s="69" t="str">
        <f>+'&lt;div style="height:100%;width:'+Math.round(r.val/maxR*100)+'%;background:'+r.color+';border-radius:4px;transition:width .3s;"&gt;&lt;/div&gt;&lt;/div&gt;'</f>
        <v>#ERROR!</v>
      </c>
      <c r="M4053" s="56"/>
    </row>
    <row r="4054">
      <c r="A4054" s="69" t="str">
        <f>+'&lt;span class="mono" style="width:60px;font-size:12px;font-weight:600;"&gt;'+r.val+' &lt;span style="opacity:.5;"&gt;'+pct+'%&lt;/span&gt;&lt;/span&gt;&lt;/div&gt;';</f>
        <v>#ERROR!</v>
      </c>
      <c r="M4054" s="56"/>
    </row>
    <row r="4055">
      <c r="A4055" s="56" t="s">
        <v>932</v>
      </c>
      <c r="M4055" s="56"/>
    </row>
    <row r="4056">
      <c r="A4056" s="56" t="s">
        <v>3364</v>
      </c>
      <c r="M4056" s="56"/>
    </row>
    <row r="4057">
      <c r="A4057" s="56" t="s">
        <v>3852</v>
      </c>
      <c r="M4057" s="56"/>
    </row>
    <row r="4058">
      <c r="A4058" s="56" t="s">
        <v>3366</v>
      </c>
      <c r="M4058" s="56"/>
    </row>
    <row r="4059">
      <c r="A4059" s="56" t="s">
        <v>3368</v>
      </c>
      <c r="M4059" s="56"/>
    </row>
    <row r="4060">
      <c r="A4060" s="56" t="s">
        <v>3370</v>
      </c>
      <c r="M4060" s="56"/>
    </row>
    <row r="4061">
      <c r="A4061" s="56" t="s">
        <v>3853</v>
      </c>
      <c r="M4061" s="56"/>
    </row>
    <row r="4062">
      <c r="A4062" s="69" t="str">
        <f>+'&lt;table&gt;&lt;thead&gt;&lt;tr&gt;&lt;th&gt;Master&lt;/th&gt;&lt;th style="text-align:right;"&gt;Batches&lt;/th&gt;&lt;th style="text-align:right;"&gt;Estimated&lt;/th&gt;&lt;th style="text-align:right;"&gt;Delivered&lt;/th&gt;&lt;th style="text-align:right;"&gt;Defective&lt;/th&gt;&lt;th&gt;Efficiency&lt;/th&gt;&lt;/tr&gt;&lt;/thead&gt;&lt;tbody&gt;';</f>
        <v>#ERROR!</v>
      </c>
      <c r="M4062" s="56"/>
    </row>
    <row r="4063">
      <c r="A4063" s="56" t="s">
        <v>3383</v>
      </c>
      <c r="M4063" s="56"/>
    </row>
    <row r="4064">
      <c r="A4064" s="56" t="s">
        <v>3385</v>
      </c>
      <c r="M4064" s="56"/>
    </row>
    <row r="4065">
      <c r="A4065" s="56" t="s">
        <v>3387</v>
      </c>
      <c r="M4065" s="56"/>
    </row>
    <row r="4066">
      <c r="A4066" s="56" t="s">
        <v>3854</v>
      </c>
      <c r="M4066" s="56"/>
    </row>
    <row r="4067">
      <c r="A4067" s="69" t="str">
        <f>+'&lt;td class="mono" style="text-align:right;"&gt;'+m.batches+'&lt;/td&gt;'</f>
        <v>#ERROR!</v>
      </c>
      <c r="M4067" s="56"/>
    </row>
    <row r="4068">
      <c r="A4068" s="69" t="str">
        <f>+'&lt;td class="mono" style="text-align:right;"&gt;'+m.est+'&lt;/td&gt;'</f>
        <v>#ERROR!</v>
      </c>
      <c r="M4068" s="56"/>
    </row>
    <row r="4069">
      <c r="A4069" s="69" t="str">
        <f>+'&lt;td class="mono" style="text-align:right;color:var(--green);font-weight:600;"&gt;'+m.act+'&lt;/td&gt;'</f>
        <v>#ERROR!</v>
      </c>
      <c r="M4069" s="56"/>
    </row>
    <row r="4070">
      <c r="A4070" s="69" t="str">
        <f>+'&lt;td class="mono" style="text-align:right;color:var(--red);"&gt;'+m.defective+'&lt;/td&gt;'</f>
        <v>#ERROR!</v>
      </c>
      <c r="M4070" s="56"/>
    </row>
    <row r="4071">
      <c r="A4071" s="69" t="str">
        <f>+'&lt;td&gt;&lt;div style="display:flex;align-items:center;gap:6px;"&gt;'</f>
        <v>#ERROR!</v>
      </c>
      <c r="M4071" s="56"/>
    </row>
    <row r="4072">
      <c r="A4072" s="69" t="str">
        <f>+'&lt;div style="flex:1;height:16px;background:var(--border);border-radius:3px;overflow:hidden;max-width:100px;"&gt;'</f>
        <v>#ERROR!</v>
      </c>
      <c r="M4072" s="56"/>
    </row>
    <row r="4073">
      <c r="A4073" s="69" t="str">
        <f>+'&lt;div style="height:100%;width:'+m.efficiency+'%;background:'+effColor+';border-radius:3px;"&gt;&lt;/div&gt;&lt;/div&gt;'</f>
        <v>#ERROR!</v>
      </c>
      <c r="M4073" s="56"/>
    </row>
    <row r="4074">
      <c r="A4074" s="69" t="str">
        <f>+'&lt;span class="mono" style="font-size:12px;font-weight:600;color:'+effColor+';"&gt;'+m.efficiency+'%&lt;/span&gt;&lt;/div&gt;&lt;/td&gt;&lt;/tr&gt;';</f>
        <v>#ERROR!</v>
      </c>
      <c r="M4074" s="56"/>
    </row>
    <row r="4075">
      <c r="A4075" s="56" t="s">
        <v>932</v>
      </c>
      <c r="M4075" s="56"/>
    </row>
    <row r="4076">
      <c r="A4076" s="56" t="s">
        <v>3403</v>
      </c>
      <c r="M4076" s="56"/>
    </row>
    <row r="4077">
      <c r="A4077" s="56" t="s">
        <v>932</v>
      </c>
      <c r="M4077" s="56"/>
    </row>
    <row r="4078">
      <c r="A4078" s="56" t="s">
        <v>3855</v>
      </c>
      <c r="M4078" s="56"/>
    </row>
    <row r="4079">
      <c r="A4079" s="64" t="s">
        <v>3856</v>
      </c>
      <c r="M4079" s="56"/>
    </row>
    <row r="4080">
      <c r="A4080" s="56" t="s">
        <v>932</v>
      </c>
      <c r="M4080" s="56"/>
    </row>
    <row r="4081">
      <c r="M4081" s="56"/>
    </row>
    <row r="4082">
      <c r="A4082" s="56" t="s">
        <v>1829</v>
      </c>
      <c r="M4082" s="56"/>
    </row>
    <row r="4083">
      <c r="A4083" s="56" t="s">
        <v>3406</v>
      </c>
      <c r="M4083" s="56"/>
    </row>
    <row r="4084">
      <c r="A4084" s="56" t="s">
        <v>1829</v>
      </c>
      <c r="M4084" s="56"/>
    </row>
    <row r="4085">
      <c r="A4085" s="56" t="s">
        <v>3408</v>
      </c>
      <c r="M4085" s="56"/>
    </row>
    <row r="4086">
      <c r="A4086" s="56" t="s">
        <v>3857</v>
      </c>
      <c r="M4086" s="56"/>
    </row>
    <row r="4087">
      <c r="A4087" s="56" t="s">
        <v>3410</v>
      </c>
      <c r="M4087" s="56"/>
    </row>
    <row r="4088">
      <c r="A4088" s="56" t="s">
        <v>3411</v>
      </c>
      <c r="M4088" s="56"/>
    </row>
    <row r="4089">
      <c r="A4089" s="56" t="s">
        <v>932</v>
      </c>
      <c r="M4089" s="56"/>
    </row>
    <row r="4090">
      <c r="A4090" s="56" t="s">
        <v>3413</v>
      </c>
      <c r="M4090" s="56"/>
    </row>
    <row r="4091">
      <c r="A4091" s="56" t="s">
        <v>3414</v>
      </c>
      <c r="M4091" s="56"/>
    </row>
    <row r="4092">
      <c r="A4092" s="56" t="s">
        <v>3416</v>
      </c>
      <c r="M4092" s="56"/>
    </row>
    <row r="4093">
      <c r="A4093" s="56" t="s">
        <v>3418</v>
      </c>
      <c r="M4093" s="56"/>
    </row>
    <row r="4094">
      <c r="A4094" s="56" t="s">
        <v>3858</v>
      </c>
      <c r="M4094" s="56"/>
    </row>
    <row r="4095">
      <c r="A4095" s="56" t="s">
        <v>3859</v>
      </c>
      <c r="M4095" s="56"/>
    </row>
    <row r="4096">
      <c r="A4096" s="56" t="s">
        <v>3860</v>
      </c>
      <c r="M4096" s="56"/>
    </row>
    <row r="4097">
      <c r="A4097" s="56" t="s">
        <v>3861</v>
      </c>
      <c r="M4097" s="56"/>
    </row>
    <row r="4098">
      <c r="A4098" s="56" t="s">
        <v>3425</v>
      </c>
      <c r="M4098" s="56"/>
    </row>
    <row r="4099">
      <c r="A4099" s="56" t="s">
        <v>3427</v>
      </c>
      <c r="M4099" s="56"/>
    </row>
    <row r="4100">
      <c r="A4100" s="56" t="s">
        <v>3862</v>
      </c>
      <c r="M4100" s="56"/>
    </row>
    <row r="4101">
      <c r="A4101" s="56" t="s">
        <v>3431</v>
      </c>
      <c r="M4101" s="56"/>
    </row>
    <row r="4102">
      <c r="A4102" s="56" t="s">
        <v>3863</v>
      </c>
      <c r="M4102" s="56"/>
    </row>
    <row r="4103">
      <c r="A4103" s="56" t="s">
        <v>3864</v>
      </c>
      <c r="M4103" s="56"/>
    </row>
    <row r="4104">
      <c r="A4104" s="56" t="s">
        <v>3865</v>
      </c>
      <c r="M4104" s="56"/>
    </row>
    <row r="4105">
      <c r="A4105" s="56" t="s">
        <v>3866</v>
      </c>
      <c r="M4105" s="56"/>
    </row>
    <row r="4106">
      <c r="A4106" s="56" t="s">
        <v>3867</v>
      </c>
      <c r="M4106" s="56"/>
    </row>
    <row r="4107">
      <c r="A4107" s="56" t="s">
        <v>3868</v>
      </c>
      <c r="M4107" s="56"/>
    </row>
    <row r="4108">
      <c r="A4108" s="56" t="s">
        <v>3443</v>
      </c>
      <c r="M4108" s="56"/>
    </row>
    <row r="4109">
      <c r="A4109" s="56" t="s">
        <v>3444</v>
      </c>
      <c r="M4109" s="56"/>
    </row>
    <row r="4110">
      <c r="A4110" s="56" t="s">
        <v>3445</v>
      </c>
      <c r="M4110" s="56"/>
    </row>
    <row r="4111">
      <c r="A4111" s="56" t="s">
        <v>3446</v>
      </c>
      <c r="M4111" s="56"/>
    </row>
    <row r="4112">
      <c r="A4112" s="56" t="s">
        <v>3447</v>
      </c>
      <c r="M4112" s="56"/>
    </row>
    <row r="4113">
      <c r="A4113" s="56" t="s">
        <v>3448</v>
      </c>
      <c r="M4113" s="56"/>
    </row>
    <row r="4114">
      <c r="A4114" s="56" t="s">
        <v>3449</v>
      </c>
      <c r="M4114" s="56"/>
    </row>
    <row r="4115">
      <c r="A4115" s="56" t="s">
        <v>3869</v>
      </c>
      <c r="M4115" s="56"/>
    </row>
    <row r="4116">
      <c r="A4116" s="56" t="s">
        <v>3870</v>
      </c>
      <c r="M4116" s="56"/>
    </row>
    <row r="4117">
      <c r="A4117" s="56" t="s">
        <v>3871</v>
      </c>
      <c r="M4117" s="56"/>
    </row>
    <row r="4118">
      <c r="A4118" s="56" t="s">
        <v>3872</v>
      </c>
      <c r="M4118" s="56"/>
    </row>
    <row r="4119">
      <c r="A4119" s="56" t="s">
        <v>3873</v>
      </c>
      <c r="M4119" s="56"/>
    </row>
    <row r="4120">
      <c r="A4120" s="56" t="s">
        <v>3874</v>
      </c>
      <c r="M4120" s="56"/>
    </row>
    <row r="4121">
      <c r="A4121" s="56" t="s">
        <v>3875</v>
      </c>
      <c r="M4121" s="56"/>
    </row>
    <row r="4122">
      <c r="A4122" s="56" t="s">
        <v>3876</v>
      </c>
      <c r="M4122" s="56"/>
    </row>
    <row r="4123">
      <c r="A4123" s="56" t="s">
        <v>3877</v>
      </c>
      <c r="M4123" s="56"/>
    </row>
    <row r="4124">
      <c r="A4124" s="56" t="s">
        <v>3878</v>
      </c>
      <c r="M4124" s="56"/>
    </row>
    <row r="4125">
      <c r="A4125" s="56" t="s">
        <v>3879</v>
      </c>
      <c r="M4125" s="56"/>
    </row>
    <row r="4126">
      <c r="A4126" s="56" t="s">
        <v>1870</v>
      </c>
      <c r="M4126" s="56"/>
    </row>
    <row r="4127">
      <c r="A4127" s="56" t="s">
        <v>3880</v>
      </c>
      <c r="M4127" s="56"/>
    </row>
    <row r="4128">
      <c r="A4128" s="56" t="s">
        <v>3881</v>
      </c>
      <c r="M4128" s="56"/>
    </row>
    <row r="4129">
      <c r="A4129" s="56" t="s">
        <v>3882</v>
      </c>
      <c r="M4129" s="56"/>
    </row>
    <row r="4130">
      <c r="A4130" s="56" t="s">
        <v>3883</v>
      </c>
      <c r="M4130" s="56"/>
    </row>
    <row r="4131">
      <c r="A4131" s="56" t="s">
        <v>1431</v>
      </c>
      <c r="M4131" s="56"/>
    </row>
    <row r="4132">
      <c r="A4132" s="56" t="s">
        <v>2080</v>
      </c>
      <c r="M4132" s="56"/>
    </row>
    <row r="4133">
      <c r="A4133" s="56" t="s">
        <v>932</v>
      </c>
      <c r="M4133" s="56"/>
    </row>
    <row r="4134">
      <c r="A4134" s="56" t="s">
        <v>3469</v>
      </c>
      <c r="M4134" s="56"/>
    </row>
    <row r="4135">
      <c r="A4135" s="56" t="s">
        <v>3470</v>
      </c>
      <c r="M4135" s="56"/>
    </row>
    <row r="4136">
      <c r="A4136" s="56" t="s">
        <v>3471</v>
      </c>
      <c r="M4136" s="56"/>
    </row>
    <row r="4137">
      <c r="A4137" s="56" t="s">
        <v>3472</v>
      </c>
      <c r="M4137" s="56"/>
    </row>
    <row r="4138">
      <c r="A4138" s="56" t="s">
        <v>3473</v>
      </c>
      <c r="M4138" s="56"/>
    </row>
    <row r="4139">
      <c r="A4139" s="56" t="s">
        <v>3474</v>
      </c>
      <c r="M4139" s="56"/>
    </row>
    <row r="4140">
      <c r="A4140" s="56" t="s">
        <v>3884</v>
      </c>
      <c r="M4140" s="56"/>
    </row>
    <row r="4141">
      <c r="A4141" s="56" t="s">
        <v>3885</v>
      </c>
      <c r="M4141" s="56"/>
    </row>
    <row r="4142">
      <c r="A4142" s="56" t="s">
        <v>3886</v>
      </c>
      <c r="M4142" s="56"/>
    </row>
    <row r="4143">
      <c r="A4143" s="56" t="s">
        <v>3887</v>
      </c>
      <c r="M4143" s="56"/>
    </row>
    <row r="4144">
      <c r="A4144" s="56" t="s">
        <v>3888</v>
      </c>
      <c r="M4144" s="56"/>
    </row>
    <row r="4145">
      <c r="A4145" s="56" t="s">
        <v>3889</v>
      </c>
      <c r="M4145" s="56"/>
    </row>
    <row r="4146">
      <c r="A4146" s="56" t="s">
        <v>3890</v>
      </c>
      <c r="M4146" s="56"/>
    </row>
    <row r="4147">
      <c r="A4147" s="56" t="s">
        <v>3891</v>
      </c>
      <c r="M4147" s="56"/>
    </row>
    <row r="4148">
      <c r="A4148" s="56" t="s">
        <v>3892</v>
      </c>
      <c r="M4148" s="56"/>
    </row>
    <row r="4149">
      <c r="A4149" s="56" t="s">
        <v>3486</v>
      </c>
      <c r="M4149" s="56"/>
    </row>
    <row r="4150">
      <c r="A4150" s="56" t="s">
        <v>3893</v>
      </c>
      <c r="M4150" s="56"/>
    </row>
    <row r="4151">
      <c r="A4151" s="56" t="s">
        <v>932</v>
      </c>
      <c r="M4151" s="56"/>
    </row>
    <row r="4152">
      <c r="A4152" s="56" t="s">
        <v>3488</v>
      </c>
      <c r="M4152" s="56"/>
    </row>
    <row r="4153">
      <c r="A4153" s="56" t="s">
        <v>3894</v>
      </c>
      <c r="M4153" s="56"/>
    </row>
    <row r="4154">
      <c r="A4154" s="56" t="s">
        <v>3895</v>
      </c>
      <c r="M4154" s="56"/>
    </row>
    <row r="4155">
      <c r="A4155" s="56" t="s">
        <v>3896</v>
      </c>
      <c r="M4155" s="56"/>
    </row>
    <row r="4156">
      <c r="A4156" s="56" t="s">
        <v>3897</v>
      </c>
      <c r="M4156" s="56"/>
    </row>
    <row r="4157">
      <c r="A4157" s="56" t="s">
        <v>3494</v>
      </c>
      <c r="M4157" s="56"/>
    </row>
    <row r="4158">
      <c r="A4158" s="56" t="s">
        <v>3898</v>
      </c>
      <c r="M4158" s="56"/>
    </row>
    <row r="4159">
      <c r="A4159" s="56" t="s">
        <v>3899</v>
      </c>
      <c r="M4159" s="56"/>
    </row>
    <row r="4160">
      <c r="A4160" s="56" t="s">
        <v>3900</v>
      </c>
      <c r="M4160" s="56"/>
    </row>
    <row r="4161">
      <c r="A4161" s="56" t="s">
        <v>3901</v>
      </c>
      <c r="M4161" s="56"/>
    </row>
    <row r="4162">
      <c r="A4162" s="56" t="s">
        <v>3498</v>
      </c>
      <c r="M4162" s="56"/>
    </row>
    <row r="4163">
      <c r="A4163" s="56" t="s">
        <v>2605</v>
      </c>
      <c r="M4163" s="56"/>
    </row>
    <row r="4164">
      <c r="A4164" s="56" t="s">
        <v>932</v>
      </c>
      <c r="M4164" s="56"/>
    </row>
    <row r="4165">
      <c r="A4165" s="56" t="s">
        <v>3499</v>
      </c>
      <c r="M4165" s="56"/>
    </row>
    <row r="4166">
      <c r="A4166" s="56" t="s">
        <v>3500</v>
      </c>
      <c r="M4166" s="56"/>
    </row>
    <row r="4167">
      <c r="M4167" s="56"/>
    </row>
    <row r="4168">
      <c r="A4168" s="56" t="s">
        <v>3501</v>
      </c>
      <c r="M4168" s="5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866</v>
      </c>
    </row>
    <row r="2">
      <c r="A2" s="56" t="s">
        <v>867</v>
      </c>
    </row>
    <row r="4">
      <c r="A4" s="56" t="s">
        <v>868</v>
      </c>
    </row>
    <row r="5">
      <c r="A5" s="56" t="s">
        <v>869</v>
      </c>
    </row>
    <row r="6">
      <c r="A6" s="56" t="s">
        <v>870</v>
      </c>
    </row>
    <row r="7">
      <c r="A7" s="56" t="s">
        <v>887</v>
      </c>
    </row>
    <row r="8">
      <c r="A8" s="56" t="s">
        <v>871</v>
      </c>
    </row>
    <row r="9">
      <c r="A9" s="56" t="s">
        <v>872</v>
      </c>
    </row>
    <row r="10">
      <c r="A10" s="56" t="s">
        <v>873</v>
      </c>
    </row>
    <row r="11">
      <c r="A11" s="56" t="s">
        <v>3902</v>
      </c>
    </row>
    <row r="12">
      <c r="A12" s="56" t="s">
        <v>875</v>
      </c>
    </row>
    <row r="14">
      <c r="A14" s="56" t="s">
        <v>3903</v>
      </c>
    </row>
    <row r="15">
      <c r="A15" s="56" t="s">
        <v>3904</v>
      </c>
    </row>
    <row r="16">
      <c r="A16" s="56" t="s">
        <v>3905</v>
      </c>
    </row>
    <row r="18">
      <c r="A18" s="56" t="s">
        <v>876</v>
      </c>
    </row>
    <row r="19">
      <c r="A19" s="56" t="s">
        <v>894</v>
      </c>
    </row>
    <row r="20">
      <c r="A20" s="56" t="s">
        <v>878</v>
      </c>
    </row>
    <row r="21">
      <c r="A21" s="56" t="s">
        <v>899</v>
      </c>
    </row>
    <row r="22">
      <c r="A22" s="56" t="s">
        <v>881</v>
      </c>
    </row>
    <row r="23">
      <c r="A23" s="56" t="s">
        <v>882</v>
      </c>
    </row>
    <row r="24">
      <c r="A24" s="56" t="s">
        <v>903</v>
      </c>
    </row>
    <row r="25">
      <c r="A25" s="56" t="s">
        <v>905</v>
      </c>
    </row>
    <row r="26">
      <c r="A26" s="56" t="s">
        <v>907</v>
      </c>
    </row>
    <row r="28">
      <c r="A28" s="56" t="s">
        <v>912</v>
      </c>
    </row>
    <row r="29">
      <c r="A29" s="56" t="s">
        <v>914</v>
      </c>
    </row>
    <row r="30">
      <c r="A30" s="56" t="s">
        <v>916</v>
      </c>
    </row>
    <row r="31">
      <c r="A31" s="56" t="s">
        <v>918</v>
      </c>
    </row>
    <row r="32">
      <c r="A32" s="56" t="s">
        <v>920</v>
      </c>
    </row>
    <row r="33">
      <c r="A33" s="56" t="s">
        <v>922</v>
      </c>
    </row>
    <row r="35">
      <c r="A35" s="56" t="s">
        <v>927</v>
      </c>
    </row>
    <row r="36">
      <c r="A36" s="56" t="s">
        <v>929</v>
      </c>
    </row>
    <row r="37">
      <c r="A37" s="56" t="s">
        <v>931</v>
      </c>
    </row>
    <row r="39">
      <c r="A39" s="56" t="s">
        <v>935</v>
      </c>
    </row>
    <row r="40">
      <c r="A40" s="56" t="s">
        <v>900</v>
      </c>
    </row>
    <row r="41">
      <c r="A41" s="56" t="s">
        <v>901</v>
      </c>
    </row>
    <row r="42">
      <c r="A42" s="56" t="s">
        <v>939</v>
      </c>
    </row>
    <row r="43">
      <c r="A43" s="56" t="s">
        <v>904</v>
      </c>
    </row>
    <row r="44">
      <c r="A44" s="56" t="s">
        <v>940</v>
      </c>
    </row>
    <row r="45">
      <c r="A45" s="56" t="s">
        <v>942</v>
      </c>
    </row>
    <row r="46">
      <c r="A46" s="56" t="s">
        <v>944</v>
      </c>
    </row>
    <row r="47">
      <c r="A47" s="56" t="s">
        <v>911</v>
      </c>
    </row>
    <row r="48">
      <c r="A48" s="56" t="s">
        <v>947</v>
      </c>
    </row>
    <row r="49">
      <c r="A49" s="56" t="s">
        <v>915</v>
      </c>
    </row>
    <row r="50">
      <c r="A50" s="56" t="s">
        <v>950</v>
      </c>
    </row>
    <row r="51">
      <c r="A51" s="56" t="s">
        <v>919</v>
      </c>
    </row>
    <row r="53">
      <c r="A53" s="56" t="s">
        <v>955</v>
      </c>
    </row>
    <row r="54">
      <c r="A54" s="56" t="s">
        <v>956</v>
      </c>
    </row>
    <row r="55">
      <c r="A55" s="56" t="s">
        <v>958</v>
      </c>
    </row>
    <row r="56">
      <c r="A56" s="56" t="s">
        <v>960</v>
      </c>
    </row>
    <row r="57">
      <c r="A57" s="56" t="s">
        <v>961</v>
      </c>
    </row>
    <row r="58">
      <c r="A58" s="56" t="s">
        <v>962</v>
      </c>
    </row>
    <row r="59">
      <c r="A59" s="56" t="s">
        <v>964</v>
      </c>
    </row>
    <row r="61">
      <c r="A61" s="56" t="s">
        <v>967</v>
      </c>
    </row>
    <row r="62">
      <c r="A62" s="56" t="s">
        <v>968</v>
      </c>
    </row>
    <row r="63">
      <c r="A63" s="56" t="s">
        <v>932</v>
      </c>
    </row>
    <row r="65">
      <c r="A65" s="56" t="s">
        <v>3906</v>
      </c>
    </row>
    <row r="66">
      <c r="A66" s="56" t="s">
        <v>3907</v>
      </c>
    </row>
    <row r="67">
      <c r="A67" s="56" t="s">
        <v>3908</v>
      </c>
    </row>
    <row r="68">
      <c r="A68" s="56" t="s">
        <v>932</v>
      </c>
    </row>
    <row r="70">
      <c r="A70" s="56" t="s">
        <v>3909</v>
      </c>
    </row>
    <row r="72">
      <c r="A72" s="56" t="s">
        <v>973</v>
      </c>
    </row>
    <row r="73">
      <c r="A73" s="56" t="s">
        <v>3910</v>
      </c>
    </row>
    <row r="74">
      <c r="A74" s="56" t="s">
        <v>2708</v>
      </c>
    </row>
    <row r="75">
      <c r="A75" s="56" t="s">
        <v>3911</v>
      </c>
    </row>
    <row r="76">
      <c r="A76" s="56" t="s">
        <v>932</v>
      </c>
    </row>
    <row r="78">
      <c r="A78" s="56" t="s">
        <v>1164</v>
      </c>
    </row>
    <row r="79">
      <c r="A79" s="56" t="s">
        <v>1089</v>
      </c>
    </row>
    <row r="80">
      <c r="A80" s="56" t="s">
        <v>3912</v>
      </c>
    </row>
    <row r="81">
      <c r="A81" s="56" t="s">
        <v>932</v>
      </c>
    </row>
    <row r="82">
      <c r="A82" s="56" t="s">
        <v>932</v>
      </c>
    </row>
    <row r="84">
      <c r="A84" s="56" t="s">
        <v>3913</v>
      </c>
    </row>
    <row r="85">
      <c r="A85" s="56" t="s">
        <v>3914</v>
      </c>
    </row>
    <row r="86">
      <c r="A86" s="56" t="s">
        <v>932</v>
      </c>
    </row>
    <row r="88">
      <c r="A88" s="56" t="s">
        <v>3915</v>
      </c>
    </row>
    <row r="89">
      <c r="A89" s="56" t="s">
        <v>2712</v>
      </c>
    </row>
    <row r="90">
      <c r="A90" s="56" t="s">
        <v>3916</v>
      </c>
    </row>
    <row r="91">
      <c r="A91" s="56" t="s">
        <v>932</v>
      </c>
    </row>
    <row r="92">
      <c r="A92" s="56" t="s">
        <v>932</v>
      </c>
    </row>
    <row r="94">
      <c r="A94" s="56" t="s">
        <v>982</v>
      </c>
    </row>
    <row r="96">
      <c r="A96" s="56" t="s">
        <v>1162</v>
      </c>
    </row>
    <row r="97">
      <c r="A97" s="56" t="s">
        <v>1164</v>
      </c>
    </row>
    <row r="98">
      <c r="A98" s="56" t="s">
        <v>1089</v>
      </c>
    </row>
    <row r="99">
      <c r="A99" s="56" t="s">
        <v>3917</v>
      </c>
    </row>
    <row r="100">
      <c r="A100" s="56" t="s">
        <v>932</v>
      </c>
    </row>
    <row r="102">
      <c r="A102" s="56" t="s">
        <v>1167</v>
      </c>
    </row>
    <row r="103">
      <c r="A103" s="56" t="s">
        <v>3918</v>
      </c>
    </row>
    <row r="104">
      <c r="A104" s="56" t="s">
        <v>3919</v>
      </c>
    </row>
    <row r="105">
      <c r="A105" s="56" t="s">
        <v>932</v>
      </c>
    </row>
    <row r="106">
      <c r="A106" s="56" t="s">
        <v>932</v>
      </c>
    </row>
    <row r="108">
      <c r="A108" s="56" t="s">
        <v>934</v>
      </c>
    </row>
    <row r="109">
      <c r="A109" s="56" t="s">
        <v>936</v>
      </c>
    </row>
    <row r="110">
      <c r="A110" s="56" t="s">
        <v>937</v>
      </c>
    </row>
    <row r="111">
      <c r="A111" s="56" t="s">
        <v>938</v>
      </c>
    </row>
    <row r="112">
      <c r="A112" s="56" t="s">
        <v>932</v>
      </c>
    </row>
    <row r="114">
      <c r="A114" s="56" t="s">
        <v>941</v>
      </c>
    </row>
    <row r="115">
      <c r="A115" s="56" t="s">
        <v>943</v>
      </c>
    </row>
    <row r="116">
      <c r="A116" s="56" t="s">
        <v>945</v>
      </c>
    </row>
    <row r="117">
      <c r="A117" s="56" t="s">
        <v>992</v>
      </c>
    </row>
    <row r="118">
      <c r="A118" s="56" t="s">
        <v>948</v>
      </c>
    </row>
    <row r="119">
      <c r="A119" s="56" t="s">
        <v>949</v>
      </c>
    </row>
    <row r="120">
      <c r="A120" s="56" t="s">
        <v>951</v>
      </c>
    </row>
    <row r="121">
      <c r="A121" s="56" t="s">
        <v>952</v>
      </c>
    </row>
    <row r="122">
      <c r="A122" s="56" t="s">
        <v>953</v>
      </c>
    </row>
    <row r="123">
      <c r="A123" s="56" t="s">
        <v>932</v>
      </c>
    </row>
    <row r="125">
      <c r="A125" s="56" t="s">
        <v>3920</v>
      </c>
    </row>
    <row r="126">
      <c r="A126" s="56" t="s">
        <v>3921</v>
      </c>
    </row>
    <row r="127">
      <c r="A127" s="56" t="s">
        <v>3922</v>
      </c>
    </row>
    <row r="128">
      <c r="A128" s="56" t="s">
        <v>3923</v>
      </c>
    </row>
    <row r="129">
      <c r="A129" s="56" t="s">
        <v>3924</v>
      </c>
    </row>
    <row r="130">
      <c r="A130" s="56" t="s">
        <v>3925</v>
      </c>
    </row>
    <row r="131">
      <c r="A131" s="56" t="s">
        <v>3926</v>
      </c>
    </row>
    <row r="132">
      <c r="A132" s="56" t="s">
        <v>2249</v>
      </c>
    </row>
    <row r="133">
      <c r="A133" s="56" t="s">
        <v>1032</v>
      </c>
    </row>
    <row r="134">
      <c r="A134" s="56" t="s">
        <v>3927</v>
      </c>
    </row>
    <row r="135">
      <c r="A135" s="56" t="s">
        <v>932</v>
      </c>
    </row>
    <row r="137">
      <c r="A137" s="56" t="s">
        <v>957</v>
      </c>
    </row>
    <row r="138">
      <c r="A138" s="56" t="s">
        <v>959</v>
      </c>
    </row>
    <row r="139">
      <c r="A139" s="56" t="s">
        <v>932</v>
      </c>
    </row>
    <row r="141">
      <c r="A141" s="56" t="s">
        <v>963</v>
      </c>
    </row>
    <row r="142">
      <c r="A142" s="56" t="s">
        <v>965</v>
      </c>
    </row>
    <row r="143">
      <c r="A143" s="56" t="s">
        <v>966</v>
      </c>
    </row>
    <row r="144">
      <c r="A144" s="56" t="s">
        <v>932</v>
      </c>
    </row>
    <row r="146">
      <c r="A146" s="56" t="s">
        <v>3928</v>
      </c>
    </row>
    <row r="147">
      <c r="A147" s="56" t="s">
        <v>970</v>
      </c>
    </row>
    <row r="148">
      <c r="A148" s="56" t="s">
        <v>972</v>
      </c>
    </row>
    <row r="149">
      <c r="A149" s="56" t="s">
        <v>974</v>
      </c>
    </row>
    <row r="150">
      <c r="A150" s="56" t="s">
        <v>1006</v>
      </c>
    </row>
    <row r="151">
      <c r="A151" s="56" t="s">
        <v>932</v>
      </c>
    </row>
    <row r="153">
      <c r="A153" s="56" t="s">
        <v>977</v>
      </c>
    </row>
    <row r="154">
      <c r="A154" s="56" t="s">
        <v>979</v>
      </c>
    </row>
    <row r="155">
      <c r="A155" s="56" t="s">
        <v>972</v>
      </c>
    </row>
    <row r="156">
      <c r="A156" s="56" t="s">
        <v>981</v>
      </c>
    </row>
    <row r="157">
      <c r="A157" s="56" t="s">
        <v>983</v>
      </c>
    </row>
    <row r="158">
      <c r="A158" s="56" t="s">
        <v>1375</v>
      </c>
    </row>
    <row r="159">
      <c r="A159" s="56" t="s">
        <v>932</v>
      </c>
    </row>
    <row r="161">
      <c r="A161" s="56" t="s">
        <v>987</v>
      </c>
    </row>
    <row r="162">
      <c r="A162" s="56" t="s">
        <v>979</v>
      </c>
    </row>
    <row r="163">
      <c r="A163" s="56" t="s">
        <v>990</v>
      </c>
    </row>
    <row r="164">
      <c r="A164" s="56" t="s">
        <v>1014</v>
      </c>
    </row>
    <row r="165">
      <c r="A165" s="56" t="s">
        <v>995</v>
      </c>
    </row>
    <row r="166">
      <c r="A166" s="56" t="s">
        <v>932</v>
      </c>
    </row>
    <row r="168">
      <c r="A168" s="56" t="s">
        <v>997</v>
      </c>
    </row>
    <row r="169">
      <c r="A169" s="56" t="s">
        <v>999</v>
      </c>
    </row>
    <row r="170">
      <c r="A170" s="56" t="s">
        <v>1000</v>
      </c>
    </row>
    <row r="171">
      <c r="A171" s="56" t="s">
        <v>1001</v>
      </c>
    </row>
    <row r="172">
      <c r="A172" s="56" t="s">
        <v>972</v>
      </c>
    </row>
    <row r="173">
      <c r="A173" s="56" t="s">
        <v>981</v>
      </c>
    </row>
    <row r="174">
      <c r="A174" s="56" t="s">
        <v>1005</v>
      </c>
    </row>
    <row r="175">
      <c r="A175" s="56" t="s">
        <v>1025</v>
      </c>
    </row>
    <row r="176">
      <c r="A176" s="56" t="s">
        <v>3929</v>
      </c>
    </row>
    <row r="177">
      <c r="A177" s="56" t="s">
        <v>932</v>
      </c>
    </row>
    <row r="179">
      <c r="A179" s="56" t="s">
        <v>1011</v>
      </c>
    </row>
    <row r="180">
      <c r="A180" s="56" t="s">
        <v>1030</v>
      </c>
    </row>
    <row r="181">
      <c r="A181" s="56" t="s">
        <v>932</v>
      </c>
    </row>
    <row r="183">
      <c r="A183" s="56" t="s">
        <v>1015</v>
      </c>
    </row>
    <row r="184">
      <c r="A184" s="56" t="s">
        <v>1032</v>
      </c>
    </row>
    <row r="185">
      <c r="A185" s="56" t="s">
        <v>1034</v>
      </c>
    </row>
    <row r="186">
      <c r="A186" s="56" t="s">
        <v>1036</v>
      </c>
    </row>
    <row r="187">
      <c r="A187" s="56" t="s">
        <v>1018</v>
      </c>
    </row>
    <row r="188">
      <c r="A188" s="56" t="s">
        <v>1039</v>
      </c>
    </row>
    <row r="189">
      <c r="A189" s="56" t="s">
        <v>972</v>
      </c>
    </row>
    <row r="190">
      <c r="A190" s="56" t="s">
        <v>1020</v>
      </c>
    </row>
    <row r="191">
      <c r="A191" s="56" t="s">
        <v>1043</v>
      </c>
    </row>
    <row r="192">
      <c r="A192" s="56" t="s">
        <v>932</v>
      </c>
    </row>
    <row r="194">
      <c r="A194" s="56" t="s">
        <v>1024</v>
      </c>
    </row>
    <row r="195">
      <c r="A195" s="56" t="s">
        <v>1026</v>
      </c>
    </row>
    <row r="196">
      <c r="A196" s="56" t="s">
        <v>1046</v>
      </c>
    </row>
    <row r="197">
      <c r="A197" s="56" t="s">
        <v>1048</v>
      </c>
    </row>
    <row r="198">
      <c r="A198" s="56" t="s">
        <v>1049</v>
      </c>
    </row>
    <row r="199">
      <c r="A199" s="56" t="s">
        <v>1031</v>
      </c>
    </row>
    <row r="200">
      <c r="A200" s="56" t="s">
        <v>1050</v>
      </c>
    </row>
    <row r="201">
      <c r="A201" s="56" t="s">
        <v>932</v>
      </c>
    </row>
    <row r="203">
      <c r="A203" s="56" t="s">
        <v>1033</v>
      </c>
    </row>
    <row r="204">
      <c r="A204" s="56" t="s">
        <v>1052</v>
      </c>
    </row>
    <row r="205">
      <c r="A205" s="56" t="s">
        <v>1037</v>
      </c>
    </row>
    <row r="206">
      <c r="A206" s="56" t="s">
        <v>1038</v>
      </c>
    </row>
    <row r="207">
      <c r="A207" s="56" t="s">
        <v>1054</v>
      </c>
    </row>
    <row r="208">
      <c r="A208" s="56" t="s">
        <v>1055</v>
      </c>
    </row>
    <row r="209">
      <c r="A209" s="56" t="s">
        <v>1056</v>
      </c>
    </row>
    <row r="210">
      <c r="A210" s="56" t="s">
        <v>966</v>
      </c>
    </row>
    <row r="211">
      <c r="A211" s="56" t="s">
        <v>932</v>
      </c>
    </row>
    <row r="213">
      <c r="A213" s="56" t="s">
        <v>1045</v>
      </c>
    </row>
    <row r="214">
      <c r="A214" s="56" t="s">
        <v>979</v>
      </c>
    </row>
    <row r="215">
      <c r="A215" s="56" t="s">
        <v>1059</v>
      </c>
    </row>
    <row r="216">
      <c r="A216" s="56" t="s">
        <v>990</v>
      </c>
    </row>
    <row r="217">
      <c r="A217" s="56" t="s">
        <v>932</v>
      </c>
    </row>
    <row r="219">
      <c r="A219" s="56" t="s">
        <v>1051</v>
      </c>
    </row>
    <row r="220">
      <c r="A220" s="56" t="s">
        <v>1052</v>
      </c>
    </row>
    <row r="221">
      <c r="A221" s="56" t="s">
        <v>1037</v>
      </c>
    </row>
    <row r="222">
      <c r="A222" s="56" t="s">
        <v>966</v>
      </c>
    </row>
    <row r="223">
      <c r="A223" s="56" t="s">
        <v>1038</v>
      </c>
    </row>
    <row r="224">
      <c r="A224" s="56" t="s">
        <v>1068</v>
      </c>
    </row>
    <row r="225">
      <c r="A225" s="56" t="s">
        <v>1069</v>
      </c>
    </row>
    <row r="226">
      <c r="A226" s="56" t="s">
        <v>932</v>
      </c>
    </row>
    <row r="228">
      <c r="A228" s="56" t="s">
        <v>1057</v>
      </c>
    </row>
    <row r="229">
      <c r="A229" s="56" t="s">
        <v>972</v>
      </c>
    </row>
    <row r="230">
      <c r="A230" s="56" t="s">
        <v>1020</v>
      </c>
    </row>
    <row r="231">
      <c r="A231" s="56" t="s">
        <v>1074</v>
      </c>
    </row>
    <row r="232">
      <c r="A232" s="56" t="s">
        <v>1076</v>
      </c>
    </row>
    <row r="233">
      <c r="A233" s="56" t="s">
        <v>1060</v>
      </c>
    </row>
    <row r="234">
      <c r="A234" s="56" t="s">
        <v>1061</v>
      </c>
    </row>
    <row r="235">
      <c r="A235" s="56" t="s">
        <v>1062</v>
      </c>
    </row>
    <row r="236">
      <c r="A236" s="56" t="s">
        <v>1079</v>
      </c>
    </row>
    <row r="237">
      <c r="A237" s="56" t="s">
        <v>1064</v>
      </c>
    </row>
    <row r="238">
      <c r="A238" s="56" t="s">
        <v>1082</v>
      </c>
    </row>
    <row r="239">
      <c r="A239" s="56" t="s">
        <v>1083</v>
      </c>
    </row>
    <row r="240">
      <c r="A240" s="56" t="s">
        <v>1067</v>
      </c>
    </row>
    <row r="241">
      <c r="A241" s="56" t="s">
        <v>932</v>
      </c>
    </row>
    <row r="243">
      <c r="A243" s="56" t="s">
        <v>1070</v>
      </c>
    </row>
    <row r="244">
      <c r="A244" s="56" t="s">
        <v>1071</v>
      </c>
    </row>
    <row r="245">
      <c r="A245" s="56" t="s">
        <v>1018</v>
      </c>
    </row>
    <row r="246">
      <c r="A246" s="56" t="s">
        <v>932</v>
      </c>
    </row>
    <row r="248">
      <c r="A248" s="56" t="s">
        <v>1073</v>
      </c>
    </row>
    <row r="249">
      <c r="A249" s="56" t="s">
        <v>1075</v>
      </c>
    </row>
    <row r="250">
      <c r="A250" s="56" t="s">
        <v>1077</v>
      </c>
    </row>
    <row r="251">
      <c r="A251" s="56" t="s">
        <v>966</v>
      </c>
    </row>
    <row r="252">
      <c r="A252" s="56" t="s">
        <v>932</v>
      </c>
    </row>
    <row r="254">
      <c r="A254" s="56" t="s">
        <v>1078</v>
      </c>
    </row>
    <row r="255">
      <c r="A255" s="56" t="s">
        <v>3930</v>
      </c>
    </row>
    <row r="256">
      <c r="A256" s="56" t="s">
        <v>3931</v>
      </c>
    </row>
    <row r="257">
      <c r="A257" s="56" t="s">
        <v>1084</v>
      </c>
    </row>
    <row r="258">
      <c r="A258" s="56" t="s">
        <v>3932</v>
      </c>
    </row>
    <row r="259">
      <c r="A259" s="56" t="s">
        <v>1082</v>
      </c>
    </row>
    <row r="260">
      <c r="A260" s="56" t="s">
        <v>932</v>
      </c>
    </row>
    <row r="262">
      <c r="A262" s="56" t="s">
        <v>3933</v>
      </c>
    </row>
    <row r="263">
      <c r="A263" s="56" t="s">
        <v>1087</v>
      </c>
    </row>
    <row r="264">
      <c r="A264" s="56" t="s">
        <v>1089</v>
      </c>
    </row>
    <row r="265">
      <c r="A265" s="56" t="s">
        <v>932</v>
      </c>
    </row>
    <row r="267">
      <c r="A267" s="56" t="s">
        <v>1094</v>
      </c>
    </row>
    <row r="268">
      <c r="A268" s="56" t="s">
        <v>1095</v>
      </c>
    </row>
    <row r="269">
      <c r="A269" s="56" t="s">
        <v>1071</v>
      </c>
    </row>
    <row r="270">
      <c r="A270" s="56" t="s">
        <v>3934</v>
      </c>
    </row>
    <row r="271">
      <c r="A271" s="56" t="s">
        <v>932</v>
      </c>
    </row>
    <row r="273">
      <c r="A273" s="56" t="s">
        <v>1109</v>
      </c>
    </row>
    <row r="274">
      <c r="A274" s="56" t="s">
        <v>972</v>
      </c>
    </row>
    <row r="275">
      <c r="A275" s="56" t="s">
        <v>1020</v>
      </c>
    </row>
    <row r="276">
      <c r="A276" s="56" t="s">
        <v>1074</v>
      </c>
    </row>
    <row r="277">
      <c r="A277" s="56" t="s">
        <v>932</v>
      </c>
    </row>
    <row r="279">
      <c r="A279" s="56" t="s">
        <v>1101</v>
      </c>
    </row>
    <row r="280">
      <c r="A280" s="56" t="s">
        <v>1593</v>
      </c>
    </row>
    <row r="281">
      <c r="A281" s="56" t="s">
        <v>1595</v>
      </c>
    </row>
    <row r="282">
      <c r="A282" s="56" t="s">
        <v>1103</v>
      </c>
    </row>
    <row r="283">
      <c r="A283" s="56" t="s">
        <v>1105</v>
      </c>
    </row>
    <row r="284">
      <c r="A284" s="56" t="s">
        <v>972</v>
      </c>
    </row>
    <row r="285">
      <c r="A285" s="56" t="s">
        <v>1020</v>
      </c>
    </row>
    <row r="286">
      <c r="A286" s="56" t="s">
        <v>1124</v>
      </c>
    </row>
    <row r="287">
      <c r="A287" s="56" t="s">
        <v>1063</v>
      </c>
    </row>
    <row r="288">
      <c r="A288" s="56" t="s">
        <v>1036</v>
      </c>
    </row>
    <row r="289">
      <c r="A289" s="56" t="s">
        <v>1018</v>
      </c>
    </row>
    <row r="290">
      <c r="A290" s="56" t="s">
        <v>932</v>
      </c>
    </row>
    <row r="292">
      <c r="A292" s="56" t="s">
        <v>1129</v>
      </c>
    </row>
    <row r="293">
      <c r="A293" s="56" t="s">
        <v>1326</v>
      </c>
    </row>
    <row r="294">
      <c r="A294" s="56" t="s">
        <v>1018</v>
      </c>
    </row>
    <row r="295">
      <c r="A295" s="56" t="s">
        <v>1064</v>
      </c>
    </row>
    <row r="296">
      <c r="A296" s="56" t="s">
        <v>1133</v>
      </c>
    </row>
    <row r="297">
      <c r="A297" s="56" t="s">
        <v>1006</v>
      </c>
    </row>
    <row r="298">
      <c r="A298" s="56" t="s">
        <v>1136</v>
      </c>
    </row>
    <row r="299">
      <c r="A299" s="56" t="s">
        <v>932</v>
      </c>
    </row>
    <row r="301">
      <c r="A301" s="56" t="s">
        <v>1140</v>
      </c>
    </row>
    <row r="302">
      <c r="A302" s="56" t="s">
        <v>1052</v>
      </c>
    </row>
    <row r="303">
      <c r="A303" s="56" t="s">
        <v>1037</v>
      </c>
    </row>
    <row r="304">
      <c r="A304" s="56" t="s">
        <v>1143</v>
      </c>
    </row>
    <row r="305">
      <c r="A305" s="56" t="s">
        <v>972</v>
      </c>
    </row>
    <row r="306">
      <c r="A306" s="56" t="s">
        <v>1020</v>
      </c>
    </row>
    <row r="307">
      <c r="A307" s="56" t="s">
        <v>1219</v>
      </c>
    </row>
    <row r="308">
      <c r="A308" s="56" t="s">
        <v>932</v>
      </c>
    </row>
    <row r="310">
      <c r="A310" s="56" t="s">
        <v>1146</v>
      </c>
    </row>
    <row r="311">
      <c r="A311" s="56" t="s">
        <v>1148</v>
      </c>
    </row>
    <row r="312">
      <c r="A312" s="56" t="s">
        <v>1149</v>
      </c>
    </row>
    <row r="313">
      <c r="A313" s="56" t="s">
        <v>1031</v>
      </c>
    </row>
    <row r="314">
      <c r="A314" s="56" t="s">
        <v>1280</v>
      </c>
    </row>
    <row r="315">
      <c r="A315" s="56" t="s">
        <v>3935</v>
      </c>
    </row>
    <row r="316">
      <c r="A316" s="56" t="s">
        <v>932</v>
      </c>
    </row>
    <row r="318">
      <c r="A318" s="56" t="s">
        <v>1113</v>
      </c>
    </row>
    <row r="319">
      <c r="A319" s="56" t="s">
        <v>1114</v>
      </c>
    </row>
    <row r="320">
      <c r="A320" s="56" t="s">
        <v>1115</v>
      </c>
    </row>
    <row r="321">
      <c r="A321" s="56" t="s">
        <v>1117</v>
      </c>
    </row>
    <row r="322">
      <c r="A322" s="56" t="s">
        <v>1119</v>
      </c>
    </row>
    <row r="323">
      <c r="A323" s="56" t="s">
        <v>1120</v>
      </c>
    </row>
    <row r="324">
      <c r="A324" s="56" t="s">
        <v>1121</v>
      </c>
    </row>
    <row r="325">
      <c r="A325" s="56" t="s">
        <v>972</v>
      </c>
    </row>
    <row r="326">
      <c r="A326" s="56" t="s">
        <v>1020</v>
      </c>
    </row>
    <row r="327">
      <c r="A327" s="56" t="s">
        <v>1181</v>
      </c>
    </row>
    <row r="328">
      <c r="A328" s="56" t="s">
        <v>3936</v>
      </c>
    </row>
    <row r="329">
      <c r="A329" s="56" t="s">
        <v>1384</v>
      </c>
    </row>
    <row r="330">
      <c r="A330" s="56" t="s">
        <v>3937</v>
      </c>
    </row>
    <row r="331">
      <c r="A331" s="56" t="s">
        <v>932</v>
      </c>
    </row>
    <row r="333">
      <c r="A333" s="56" t="s">
        <v>1186</v>
      </c>
    </row>
    <row r="334">
      <c r="A334" s="56" t="s">
        <v>1034</v>
      </c>
    </row>
    <row r="335">
      <c r="A335" s="56" t="s">
        <v>966</v>
      </c>
    </row>
    <row r="336">
      <c r="A336" s="56" t="s">
        <v>951</v>
      </c>
    </row>
    <row r="337">
      <c r="A337" s="56" t="s">
        <v>932</v>
      </c>
    </row>
    <row r="339">
      <c r="A339" s="56" t="s">
        <v>1193</v>
      </c>
    </row>
    <row r="340">
      <c r="A340" s="56" t="s">
        <v>1063</v>
      </c>
    </row>
    <row r="341">
      <c r="A341" s="56" t="s">
        <v>1196</v>
      </c>
    </row>
    <row r="342">
      <c r="A342" s="56" t="s">
        <v>1143</v>
      </c>
    </row>
    <row r="343">
      <c r="A343" s="56" t="s">
        <v>3938</v>
      </c>
    </row>
    <row r="344">
      <c r="A344" s="56" t="s">
        <v>932</v>
      </c>
    </row>
    <row r="346">
      <c r="A346" s="56" t="s">
        <v>1127</v>
      </c>
    </row>
    <row r="347">
      <c r="A347" s="56" t="s">
        <v>1128</v>
      </c>
    </row>
    <row r="348">
      <c r="A348" s="56" t="s">
        <v>1130</v>
      </c>
    </row>
    <row r="349">
      <c r="A349" s="56" t="s">
        <v>1063</v>
      </c>
    </row>
    <row r="350">
      <c r="A350" s="56" t="s">
        <v>966</v>
      </c>
    </row>
    <row r="351">
      <c r="A351" s="56" t="s">
        <v>1132</v>
      </c>
    </row>
    <row r="352">
      <c r="A352" s="56" t="s">
        <v>1213</v>
      </c>
    </row>
    <row r="353">
      <c r="A353" s="56" t="s">
        <v>1060</v>
      </c>
    </row>
    <row r="354">
      <c r="A354" s="56" t="s">
        <v>1061</v>
      </c>
    </row>
    <row r="355">
      <c r="A355" s="56" t="s">
        <v>1216</v>
      </c>
    </row>
    <row r="356">
      <c r="A356" s="56" t="s">
        <v>1020</v>
      </c>
    </row>
    <row r="357">
      <c r="A357" s="56" t="s">
        <v>1021</v>
      </c>
    </row>
    <row r="358">
      <c r="A358" s="56" t="s">
        <v>1082</v>
      </c>
    </row>
    <row r="359">
      <c r="A359" s="56" t="s">
        <v>1133</v>
      </c>
    </row>
    <row r="360">
      <c r="A360" s="56" t="s">
        <v>1138</v>
      </c>
    </row>
    <row r="361">
      <c r="A361" s="56" t="s">
        <v>932</v>
      </c>
    </row>
    <row r="363">
      <c r="A363" s="56" t="s">
        <v>3939</v>
      </c>
    </row>
    <row r="364">
      <c r="A364" s="56" t="s">
        <v>3940</v>
      </c>
    </row>
    <row r="365">
      <c r="A365" s="56" t="s">
        <v>932</v>
      </c>
    </row>
    <row r="367">
      <c r="A367" s="56" t="s">
        <v>1223</v>
      </c>
    </row>
    <row r="368">
      <c r="A368" s="56" t="s">
        <v>1080</v>
      </c>
    </row>
    <row r="369">
      <c r="A369" s="56" t="s">
        <v>1081</v>
      </c>
    </row>
    <row r="370">
      <c r="A370" s="56" t="s">
        <v>1228</v>
      </c>
    </row>
    <row r="371">
      <c r="A371" s="56" t="s">
        <v>932</v>
      </c>
    </row>
    <row r="373">
      <c r="A373" s="56" t="s">
        <v>1232</v>
      </c>
    </row>
    <row r="374">
      <c r="A374" s="56" t="s">
        <v>1234</v>
      </c>
    </row>
    <row r="375">
      <c r="A375" s="56" t="s">
        <v>1018</v>
      </c>
    </row>
    <row r="376">
      <c r="A376" s="56" t="s">
        <v>3941</v>
      </c>
    </row>
    <row r="377">
      <c r="A377" s="56" t="s">
        <v>932</v>
      </c>
    </row>
    <row r="379">
      <c r="A379" s="56" t="s">
        <v>1239</v>
      </c>
    </row>
    <row r="380">
      <c r="A380" s="56" t="s">
        <v>1241</v>
      </c>
    </row>
    <row r="381">
      <c r="A381" s="56" t="s">
        <v>3942</v>
      </c>
    </row>
    <row r="382">
      <c r="A382" s="56" t="s">
        <v>1711</v>
      </c>
    </row>
    <row r="383">
      <c r="A383" s="56" t="s">
        <v>932</v>
      </c>
    </row>
    <row r="385">
      <c r="A385" s="56" t="s">
        <v>1267</v>
      </c>
    </row>
    <row r="386">
      <c r="A386" s="56" t="s">
        <v>1171</v>
      </c>
    </row>
    <row r="387">
      <c r="A387" s="56" t="s">
        <v>951</v>
      </c>
    </row>
    <row r="388">
      <c r="A388" s="56" t="s">
        <v>1271</v>
      </c>
    </row>
    <row r="389">
      <c r="A389" s="56" t="s">
        <v>932</v>
      </c>
    </row>
    <row r="391">
      <c r="A391" s="56" t="s">
        <v>1274</v>
      </c>
    </row>
    <row r="392">
      <c r="A392" s="56" t="s">
        <v>1275</v>
      </c>
    </row>
    <row r="393">
      <c r="A393" s="56" t="s">
        <v>3943</v>
      </c>
    </row>
    <row r="394">
      <c r="A394" s="56" t="s">
        <v>932</v>
      </c>
    </row>
    <row r="396">
      <c r="A396" s="56" t="s">
        <v>1251</v>
      </c>
    </row>
    <row r="397">
      <c r="A397" s="56" t="s">
        <v>1253</v>
      </c>
    </row>
    <row r="398">
      <c r="A398" s="56" t="s">
        <v>1018</v>
      </c>
    </row>
    <row r="399">
      <c r="A399" s="56" t="s">
        <v>932</v>
      </c>
    </row>
    <row r="401">
      <c r="A401" s="56" t="s">
        <v>1257</v>
      </c>
    </row>
    <row r="402">
      <c r="A402" s="56" t="s">
        <v>3944</v>
      </c>
    </row>
    <row r="403">
      <c r="A403" s="56" t="s">
        <v>932</v>
      </c>
    </row>
    <row r="405">
      <c r="A405" s="56" t="s">
        <v>1279</v>
      </c>
    </row>
    <row r="406">
      <c r="A406" s="56" t="s">
        <v>1280</v>
      </c>
    </row>
    <row r="407">
      <c r="A407" s="56" t="s">
        <v>1018</v>
      </c>
    </row>
    <row r="408">
      <c r="A408" s="56" t="s">
        <v>932</v>
      </c>
    </row>
    <row r="410">
      <c r="A410" s="56" t="s">
        <v>1284</v>
      </c>
    </row>
    <row r="411">
      <c r="A411" s="56" t="s">
        <v>3945</v>
      </c>
    </row>
    <row r="412">
      <c r="A412" s="56" t="s">
        <v>932</v>
      </c>
    </row>
    <row r="414">
      <c r="A414" s="56" t="s">
        <v>1294</v>
      </c>
    </row>
    <row r="415">
      <c r="A415" s="56" t="s">
        <v>1304</v>
      </c>
    </row>
    <row r="416">
      <c r="A416" s="56" t="s">
        <v>1297</v>
      </c>
    </row>
    <row r="417">
      <c r="A417" s="56" t="s">
        <v>1312</v>
      </c>
    </row>
    <row r="418">
      <c r="A418" s="56" t="s">
        <v>3946</v>
      </c>
    </row>
    <row r="419">
      <c r="A419" s="56" t="s">
        <v>932</v>
      </c>
    </row>
    <row r="421">
      <c r="A421" s="56" t="s">
        <v>1302</v>
      </c>
    </row>
    <row r="422">
      <c r="A422" s="56" t="s">
        <v>3947</v>
      </c>
    </row>
    <row r="423">
      <c r="A423" s="56" t="s">
        <v>932</v>
      </c>
    </row>
    <row r="425">
      <c r="A425" s="56" t="s">
        <v>1307</v>
      </c>
    </row>
    <row r="426">
      <c r="A426" s="56" t="s">
        <v>1309</v>
      </c>
    </row>
    <row r="427">
      <c r="A427" s="56" t="s">
        <v>1196</v>
      </c>
    </row>
    <row r="428">
      <c r="A428" s="56" t="s">
        <v>3946</v>
      </c>
    </row>
    <row r="429">
      <c r="A429" s="56" t="s">
        <v>932</v>
      </c>
    </row>
    <row r="431">
      <c r="A431" s="56" t="s">
        <v>1318</v>
      </c>
    </row>
    <row r="432">
      <c r="A432" s="56" t="s">
        <v>951</v>
      </c>
    </row>
    <row r="433">
      <c r="A433" s="56" t="s">
        <v>1275</v>
      </c>
    </row>
    <row r="434">
      <c r="A434" s="56" t="s">
        <v>932</v>
      </c>
    </row>
    <row r="436">
      <c r="A436" s="56" t="s">
        <v>1323</v>
      </c>
    </row>
    <row r="437">
      <c r="A437" s="56" t="s">
        <v>3948</v>
      </c>
    </row>
    <row r="438">
      <c r="A438" s="56" t="s">
        <v>1326</v>
      </c>
    </row>
    <row r="439">
      <c r="A439" s="56" t="s">
        <v>932</v>
      </c>
    </row>
    <row r="441">
      <c r="A441" s="56" t="s">
        <v>3949</v>
      </c>
    </row>
    <row r="442">
      <c r="A442" s="56" t="s">
        <v>3918</v>
      </c>
    </row>
    <row r="443">
      <c r="A443" s="56" t="s">
        <v>1247</v>
      </c>
    </row>
    <row r="444">
      <c r="A444" s="56" t="s">
        <v>3950</v>
      </c>
    </row>
    <row r="445">
      <c r="A445" s="56" t="s">
        <v>3946</v>
      </c>
    </row>
    <row r="446">
      <c r="A446" s="56" t="s">
        <v>932</v>
      </c>
    </row>
    <row r="448">
      <c r="A448" s="56" t="s">
        <v>1168</v>
      </c>
    </row>
    <row r="449">
      <c r="A449" s="56" t="s">
        <v>1170</v>
      </c>
    </row>
    <row r="450">
      <c r="A450" s="56" t="s">
        <v>1171</v>
      </c>
    </row>
    <row r="451">
      <c r="A451" s="56" t="s">
        <v>1172</v>
      </c>
    </row>
    <row r="452">
      <c r="A452" s="56" t="s">
        <v>1173</v>
      </c>
    </row>
    <row r="453">
      <c r="A453" s="56" t="s">
        <v>1174</v>
      </c>
    </row>
    <row r="454">
      <c r="A454" s="56" t="s">
        <v>1175</v>
      </c>
    </row>
    <row r="455">
      <c r="A455" s="56" t="s">
        <v>1082</v>
      </c>
    </row>
    <row r="456">
      <c r="A456" s="56" t="s">
        <v>932</v>
      </c>
    </row>
    <row r="458">
      <c r="A458" s="56" t="s">
        <v>3951</v>
      </c>
    </row>
    <row r="459">
      <c r="A459" s="56" t="s">
        <v>2675</v>
      </c>
    </row>
    <row r="460">
      <c r="A460" s="56" t="s">
        <v>932</v>
      </c>
    </row>
    <row r="462">
      <c r="A462" s="56" t="s">
        <v>1179</v>
      </c>
    </row>
    <row r="463">
      <c r="A463" s="56" t="s">
        <v>1180</v>
      </c>
    </row>
    <row r="464">
      <c r="A464" s="56" t="s">
        <v>1119</v>
      </c>
    </row>
    <row r="465">
      <c r="A465" s="56" t="s">
        <v>972</v>
      </c>
    </row>
    <row r="466">
      <c r="A466" s="56" t="s">
        <v>1020</v>
      </c>
    </row>
    <row r="467">
      <c r="A467" s="56" t="s">
        <v>1181</v>
      </c>
    </row>
    <row r="468">
      <c r="A468" s="56" t="s">
        <v>1074</v>
      </c>
    </row>
    <row r="469">
      <c r="A469" s="56" t="s">
        <v>1342</v>
      </c>
    </row>
    <row r="470">
      <c r="A470" s="56" t="s">
        <v>1184</v>
      </c>
    </row>
    <row r="471">
      <c r="A471" s="56" t="s">
        <v>1185</v>
      </c>
    </row>
    <row r="472">
      <c r="A472" s="56" t="s">
        <v>932</v>
      </c>
    </row>
    <row r="474">
      <c r="A474" s="56" t="s">
        <v>1345</v>
      </c>
    </row>
    <row r="475">
      <c r="A475" s="56" t="s">
        <v>2728</v>
      </c>
    </row>
    <row r="476">
      <c r="A476" s="56" t="s">
        <v>966</v>
      </c>
    </row>
    <row r="477">
      <c r="A477" s="56" t="s">
        <v>951</v>
      </c>
    </row>
    <row r="478">
      <c r="A478" s="56" t="s">
        <v>932</v>
      </c>
    </row>
    <row r="480">
      <c r="A480" s="56" t="s">
        <v>1351</v>
      </c>
    </row>
    <row r="481">
      <c r="A481" s="56" t="s">
        <v>3952</v>
      </c>
    </row>
    <row r="482">
      <c r="A482" s="56" t="s">
        <v>932</v>
      </c>
    </row>
    <row r="484">
      <c r="A484" s="56" t="s">
        <v>1355</v>
      </c>
    </row>
    <row r="485">
      <c r="A485" s="56" t="s">
        <v>938</v>
      </c>
    </row>
    <row r="486">
      <c r="A486" s="56" t="s">
        <v>932</v>
      </c>
    </row>
    <row r="488">
      <c r="A488" s="56" t="s">
        <v>1190</v>
      </c>
    </row>
    <row r="489">
      <c r="A489" s="56" t="s">
        <v>1360</v>
      </c>
    </row>
    <row r="490">
      <c r="A490" s="56" t="s">
        <v>1362</v>
      </c>
    </row>
    <row r="491">
      <c r="A491" s="56" t="s">
        <v>3953</v>
      </c>
    </row>
    <row r="492">
      <c r="A492" s="56" t="s">
        <v>3954</v>
      </c>
    </row>
    <row r="493">
      <c r="A493" s="56" t="s">
        <v>3955</v>
      </c>
    </row>
    <row r="494">
      <c r="A494" s="56" t="s">
        <v>932</v>
      </c>
    </row>
    <row r="496">
      <c r="A496" s="56" t="s">
        <v>1192</v>
      </c>
    </row>
    <row r="497">
      <c r="A497" s="56" t="s">
        <v>1171</v>
      </c>
    </row>
    <row r="498">
      <c r="A498" s="56" t="s">
        <v>1172</v>
      </c>
    </row>
    <row r="499">
      <c r="A499" s="56" t="s">
        <v>1173</v>
      </c>
    </row>
    <row r="500">
      <c r="A500" s="56" t="s">
        <v>3952</v>
      </c>
    </row>
    <row r="501">
      <c r="A501" s="56" t="s">
        <v>1375</v>
      </c>
    </row>
    <row r="502">
      <c r="A502" s="56" t="s">
        <v>1006</v>
      </c>
    </row>
    <row r="503">
      <c r="A503" s="56" t="s">
        <v>1174</v>
      </c>
    </row>
    <row r="504">
      <c r="A504" s="56" t="s">
        <v>1082</v>
      </c>
    </row>
    <row r="505">
      <c r="A505" s="56" t="s">
        <v>932</v>
      </c>
    </row>
    <row r="507">
      <c r="A507" s="56" t="s">
        <v>3956</v>
      </c>
    </row>
    <row r="508">
      <c r="A508" s="56" t="s">
        <v>3957</v>
      </c>
    </row>
    <row r="509">
      <c r="A509" s="56" t="s">
        <v>2675</v>
      </c>
    </row>
    <row r="510">
      <c r="A510" s="56" t="s">
        <v>932</v>
      </c>
    </row>
    <row r="512">
      <c r="A512" s="56" t="s">
        <v>1200</v>
      </c>
    </row>
    <row r="513">
      <c r="A513" s="56" t="s">
        <v>1026</v>
      </c>
    </row>
    <row r="514">
      <c r="A514" s="56" t="s">
        <v>1382</v>
      </c>
    </row>
    <row r="515">
      <c r="A515" s="56" t="s">
        <v>1384</v>
      </c>
    </row>
    <row r="516">
      <c r="A516" s="56" t="s">
        <v>1386</v>
      </c>
    </row>
    <row r="517">
      <c r="A517" s="56" t="s">
        <v>1388</v>
      </c>
    </row>
    <row r="518">
      <c r="A518" s="56" t="s">
        <v>3958</v>
      </c>
    </row>
    <row r="519">
      <c r="A519" s="56" t="s">
        <v>932</v>
      </c>
    </row>
    <row r="521">
      <c r="A521" s="56" t="s">
        <v>3959</v>
      </c>
    </row>
    <row r="522">
      <c r="A522" s="56" t="s">
        <v>1395</v>
      </c>
    </row>
    <row r="523">
      <c r="A523" s="56" t="s">
        <v>932</v>
      </c>
    </row>
    <row r="525">
      <c r="A525" s="56" t="s">
        <v>3960</v>
      </c>
    </row>
    <row r="526">
      <c r="A526" s="56" t="s">
        <v>1280</v>
      </c>
    </row>
    <row r="527">
      <c r="A527" s="56" t="s">
        <v>932</v>
      </c>
    </row>
    <row r="529">
      <c r="A529" s="56" t="s">
        <v>3961</v>
      </c>
    </row>
    <row r="530">
      <c r="A530" s="56" t="s">
        <v>1253</v>
      </c>
    </row>
    <row r="531">
      <c r="A531" s="56" t="s">
        <v>932</v>
      </c>
    </row>
    <row r="533">
      <c r="A533" s="56" t="s">
        <v>3962</v>
      </c>
    </row>
    <row r="534">
      <c r="A534" s="56" t="s">
        <v>3963</v>
      </c>
    </row>
    <row r="535">
      <c r="A535" s="56" t="s">
        <v>932</v>
      </c>
    </row>
    <row r="537">
      <c r="A537" s="56" t="s">
        <v>1413</v>
      </c>
    </row>
    <row r="538">
      <c r="A538" s="56" t="s">
        <v>1326</v>
      </c>
    </row>
    <row r="539">
      <c r="A539" s="56" t="s">
        <v>966</v>
      </c>
    </row>
    <row r="540">
      <c r="A540" s="56" t="s">
        <v>1038</v>
      </c>
    </row>
    <row r="541">
      <c r="A541" s="56" t="s">
        <v>3964</v>
      </c>
    </row>
    <row r="542">
      <c r="A542" s="56" t="s">
        <v>1196</v>
      </c>
    </row>
    <row r="543">
      <c r="A543" s="56" t="s">
        <v>3965</v>
      </c>
    </row>
    <row r="544">
      <c r="A544" s="56" t="s">
        <v>932</v>
      </c>
    </row>
    <row r="546">
      <c r="A546" s="56" t="s">
        <v>1422</v>
      </c>
    </row>
    <row r="547">
      <c r="A547" s="56" t="s">
        <v>1032</v>
      </c>
    </row>
    <row r="548">
      <c r="A548" s="56" t="s">
        <v>3966</v>
      </c>
    </row>
    <row r="549">
      <c r="A549" s="56" t="s">
        <v>1036</v>
      </c>
    </row>
    <row r="550">
      <c r="A550" s="56" t="s">
        <v>3967</v>
      </c>
    </row>
    <row r="551">
      <c r="A551" s="56" t="s">
        <v>1430</v>
      </c>
    </row>
    <row r="552">
      <c r="A552" s="56" t="s">
        <v>1419</v>
      </c>
    </row>
    <row r="553">
      <c r="A553" s="56" t="s">
        <v>951</v>
      </c>
    </row>
    <row r="554">
      <c r="A554" s="56" t="s">
        <v>932</v>
      </c>
    </row>
    <row r="556">
      <c r="A556" s="56" t="s">
        <v>1436</v>
      </c>
    </row>
    <row r="557">
      <c r="A557" s="56" t="s">
        <v>1297</v>
      </c>
    </row>
    <row r="558">
      <c r="A558" s="56" t="s">
        <v>932</v>
      </c>
    </row>
    <row r="560">
      <c r="A560" s="56" t="s">
        <v>1441</v>
      </c>
    </row>
    <row r="561">
      <c r="A561" s="56" t="s">
        <v>2107</v>
      </c>
    </row>
    <row r="562">
      <c r="A562" s="56" t="s">
        <v>932</v>
      </c>
    </row>
    <row r="564">
      <c r="A564" s="56" t="s">
        <v>1446</v>
      </c>
    </row>
    <row r="565">
      <c r="A565" s="56" t="s">
        <v>1448</v>
      </c>
    </row>
    <row r="566">
      <c r="A566" s="56" t="s">
        <v>932</v>
      </c>
    </row>
    <row r="568">
      <c r="A568" s="56" t="s">
        <v>1451</v>
      </c>
    </row>
    <row r="569">
      <c r="A569" s="56" t="s">
        <v>1326</v>
      </c>
    </row>
    <row r="570">
      <c r="A570" s="56" t="s">
        <v>1196</v>
      </c>
    </row>
    <row r="571">
      <c r="A571" s="56" t="s">
        <v>1064</v>
      </c>
    </row>
    <row r="572">
      <c r="A572" s="56" t="s">
        <v>932</v>
      </c>
    </row>
    <row r="574">
      <c r="A574" s="56" t="s">
        <v>1215</v>
      </c>
    </row>
    <row r="575">
      <c r="A575" s="56" t="s">
        <v>1458</v>
      </c>
    </row>
    <row r="576">
      <c r="A576" s="56" t="s">
        <v>1362</v>
      </c>
    </row>
    <row r="577">
      <c r="A577" s="56" t="s">
        <v>1460</v>
      </c>
    </row>
    <row r="578">
      <c r="A578" s="56" t="s">
        <v>3968</v>
      </c>
    </row>
    <row r="579">
      <c r="A579" s="56" t="s">
        <v>1175</v>
      </c>
    </row>
    <row r="580">
      <c r="A580" s="56" t="s">
        <v>932</v>
      </c>
    </row>
    <row r="582">
      <c r="A582" s="56" t="s">
        <v>3969</v>
      </c>
    </row>
    <row r="583">
      <c r="A583" s="56" t="s">
        <v>1458</v>
      </c>
    </row>
    <row r="584">
      <c r="A584" s="56" t="s">
        <v>1469</v>
      </c>
    </row>
    <row r="585">
      <c r="A585" s="56" t="s">
        <v>932</v>
      </c>
    </row>
    <row r="586">
      <c r="A586" s="56" t="s">
        <v>932</v>
      </c>
    </row>
    <row r="588">
      <c r="A588" s="56" t="s">
        <v>1475</v>
      </c>
    </row>
    <row r="589">
      <c r="A589" s="56" t="s">
        <v>1052</v>
      </c>
    </row>
    <row r="590">
      <c r="A590" s="56" t="s">
        <v>1036</v>
      </c>
    </row>
    <row r="591">
      <c r="A591" s="56" t="s">
        <v>1038</v>
      </c>
    </row>
    <row r="592">
      <c r="A592" s="56" t="s">
        <v>3970</v>
      </c>
    </row>
    <row r="593">
      <c r="A593" s="56" t="s">
        <v>1196</v>
      </c>
    </row>
    <row r="594">
      <c r="A594" s="56" t="s">
        <v>3965</v>
      </c>
    </row>
    <row r="595">
      <c r="A595" s="56" t="s">
        <v>932</v>
      </c>
    </row>
    <row r="597">
      <c r="A597" s="56" t="s">
        <v>1485</v>
      </c>
    </row>
    <row r="598">
      <c r="A598" s="56" t="s">
        <v>1362</v>
      </c>
    </row>
    <row r="599">
      <c r="A599" s="56" t="s">
        <v>3954</v>
      </c>
    </row>
    <row r="600">
      <c r="A600" s="56" t="s">
        <v>3971</v>
      </c>
    </row>
    <row r="601">
      <c r="A601" s="56" t="s">
        <v>932</v>
      </c>
    </row>
    <row r="603">
      <c r="A603" s="56" t="s">
        <v>1490</v>
      </c>
    </row>
    <row r="604">
      <c r="A604" s="56" t="s">
        <v>972</v>
      </c>
    </row>
    <row r="605">
      <c r="A605" s="56" t="s">
        <v>981</v>
      </c>
    </row>
    <row r="606">
      <c r="A606" s="56" t="s">
        <v>1219</v>
      </c>
    </row>
    <row r="607">
      <c r="A607" s="56" t="s">
        <v>932</v>
      </c>
    </row>
    <row r="609">
      <c r="A609" s="56" t="s">
        <v>1497</v>
      </c>
    </row>
    <row r="610">
      <c r="A610" s="56" t="s">
        <v>1326</v>
      </c>
    </row>
    <row r="611">
      <c r="A611" s="56" t="s">
        <v>966</v>
      </c>
    </row>
    <row r="612">
      <c r="A612" s="56" t="s">
        <v>1886</v>
      </c>
    </row>
    <row r="613">
      <c r="A613" s="56" t="s">
        <v>932</v>
      </c>
    </row>
    <row r="615">
      <c r="A615" s="56" t="s">
        <v>1505</v>
      </c>
    </row>
    <row r="616">
      <c r="A616" s="56" t="s">
        <v>1297</v>
      </c>
    </row>
    <row r="617">
      <c r="A617" s="56" t="s">
        <v>932</v>
      </c>
    </row>
    <row r="619">
      <c r="A619" s="56" t="s">
        <v>1510</v>
      </c>
    </row>
    <row r="620">
      <c r="A620" s="56" t="s">
        <v>1511</v>
      </c>
    </row>
    <row r="621">
      <c r="A621" s="56" t="s">
        <v>1512</v>
      </c>
    </row>
    <row r="622">
      <c r="A622" s="56" t="s">
        <v>1130</v>
      </c>
    </row>
    <row r="623">
      <c r="A623" s="56" t="s">
        <v>948</v>
      </c>
    </row>
    <row r="624">
      <c r="A624" s="56" t="s">
        <v>1076</v>
      </c>
    </row>
    <row r="625">
      <c r="A625" s="56" t="s">
        <v>1171</v>
      </c>
    </row>
    <row r="626">
      <c r="A626" s="56" t="s">
        <v>3972</v>
      </c>
    </row>
    <row r="627">
      <c r="A627" s="56" t="s">
        <v>1060</v>
      </c>
    </row>
    <row r="628">
      <c r="A628" s="56" t="s">
        <v>951</v>
      </c>
    </row>
    <row r="629">
      <c r="A629" s="56" t="s">
        <v>1082</v>
      </c>
    </row>
    <row r="630">
      <c r="A630" s="56" t="s">
        <v>1519</v>
      </c>
    </row>
    <row r="631">
      <c r="A631" s="56" t="s">
        <v>1138</v>
      </c>
    </row>
    <row r="632">
      <c r="A632" s="56" t="s">
        <v>932</v>
      </c>
    </row>
    <row r="634">
      <c r="A634" s="56" t="s">
        <v>1522</v>
      </c>
    </row>
    <row r="635">
      <c r="A635" s="56" t="s">
        <v>1523</v>
      </c>
    </row>
    <row r="636">
      <c r="A636" s="56" t="s">
        <v>1524</v>
      </c>
    </row>
    <row r="637">
      <c r="A637" s="56" t="s">
        <v>1525</v>
      </c>
    </row>
    <row r="638">
      <c r="A638" s="56" t="s">
        <v>1526</v>
      </c>
    </row>
    <row r="639">
      <c r="A639" s="56" t="s">
        <v>3973</v>
      </c>
    </row>
    <row r="640">
      <c r="A640" s="56" t="s">
        <v>932</v>
      </c>
    </row>
    <row r="642">
      <c r="A642" s="56" t="s">
        <v>1532</v>
      </c>
    </row>
    <row r="643">
      <c r="A643" s="56" t="s">
        <v>1534</v>
      </c>
    </row>
    <row r="644">
      <c r="A644" s="56" t="s">
        <v>1044</v>
      </c>
    </row>
    <row r="645">
      <c r="A645" s="56" t="s">
        <v>1063</v>
      </c>
    </row>
    <row r="646">
      <c r="A646" s="56" t="s">
        <v>932</v>
      </c>
    </row>
    <row r="648">
      <c r="A648" s="56" t="s">
        <v>1512</v>
      </c>
    </row>
    <row r="649">
      <c r="A649" s="56" t="s">
        <v>1540</v>
      </c>
    </row>
    <row r="650">
      <c r="A650" s="56" t="s">
        <v>3974</v>
      </c>
    </row>
    <row r="651">
      <c r="A651" s="56" t="s">
        <v>932</v>
      </c>
    </row>
    <row r="653">
      <c r="A653" s="56" t="s">
        <v>1545</v>
      </c>
    </row>
    <row r="654">
      <c r="A654" s="56" t="s">
        <v>1546</v>
      </c>
    </row>
    <row r="655">
      <c r="A655" s="56" t="s">
        <v>1548</v>
      </c>
    </row>
    <row r="656">
      <c r="A656" s="56" t="s">
        <v>3975</v>
      </c>
    </row>
    <row r="657">
      <c r="A657" s="56" t="s">
        <v>932</v>
      </c>
    </row>
    <row r="659">
      <c r="A659" s="56" t="s">
        <v>1246</v>
      </c>
    </row>
    <row r="660">
      <c r="A660" s="56" t="s">
        <v>1553</v>
      </c>
    </row>
    <row r="661">
      <c r="A661" s="56" t="s">
        <v>972</v>
      </c>
    </row>
    <row r="662">
      <c r="A662" s="56" t="s">
        <v>981</v>
      </c>
    </row>
    <row r="663">
      <c r="A663" s="56" t="s">
        <v>1074</v>
      </c>
    </row>
    <row r="664">
      <c r="A664" s="56" t="s">
        <v>932</v>
      </c>
    </row>
    <row r="666">
      <c r="A666" s="56" t="s">
        <v>1249</v>
      </c>
    </row>
    <row r="667">
      <c r="A667" s="56" t="s">
        <v>1362</v>
      </c>
    </row>
    <row r="668">
      <c r="A668" s="56" t="s">
        <v>3976</v>
      </c>
    </row>
    <row r="669">
      <c r="A669" s="56" t="s">
        <v>1182</v>
      </c>
    </row>
    <row r="670">
      <c r="A670" s="56" t="s">
        <v>1562</v>
      </c>
    </row>
    <row r="671">
      <c r="A671" s="56" t="s">
        <v>3977</v>
      </c>
    </row>
    <row r="672">
      <c r="A672" s="56" t="s">
        <v>3978</v>
      </c>
    </row>
    <row r="673">
      <c r="A673" s="56" t="s">
        <v>1172</v>
      </c>
    </row>
    <row r="674">
      <c r="A674" s="56" t="s">
        <v>1060</v>
      </c>
    </row>
    <row r="675">
      <c r="A675" s="56" t="s">
        <v>1082</v>
      </c>
    </row>
    <row r="676">
      <c r="A676" s="56" t="s">
        <v>932</v>
      </c>
    </row>
    <row r="678">
      <c r="A678" s="56" t="s">
        <v>3979</v>
      </c>
    </row>
    <row r="679">
      <c r="A679" s="56" t="s">
        <v>1271</v>
      </c>
    </row>
    <row r="680">
      <c r="A680" s="56" t="s">
        <v>3980</v>
      </c>
    </row>
    <row r="681">
      <c r="A681" s="56" t="s">
        <v>932</v>
      </c>
    </row>
    <row r="683">
      <c r="A683" s="56" t="s">
        <v>1258</v>
      </c>
    </row>
    <row r="684">
      <c r="A684" s="56" t="s">
        <v>1044</v>
      </c>
    </row>
    <row r="685">
      <c r="A685" s="56" t="s">
        <v>1326</v>
      </c>
    </row>
    <row r="686">
      <c r="A686" s="56" t="s">
        <v>1196</v>
      </c>
    </row>
    <row r="687">
      <c r="A687" s="56" t="s">
        <v>1821</v>
      </c>
    </row>
    <row r="688">
      <c r="A688" s="56" t="s">
        <v>3981</v>
      </c>
    </row>
    <row r="689">
      <c r="A689" s="56" t="s">
        <v>1060</v>
      </c>
    </row>
    <row r="690">
      <c r="A690" s="56" t="s">
        <v>1571</v>
      </c>
    </row>
    <row r="691">
      <c r="A691" s="56" t="s">
        <v>972</v>
      </c>
    </row>
    <row r="692">
      <c r="A692" s="56" t="s">
        <v>1020</v>
      </c>
    </row>
    <row r="693">
      <c r="A693" s="56" t="s">
        <v>1124</v>
      </c>
    </row>
    <row r="694">
      <c r="A694" s="56" t="s">
        <v>1171</v>
      </c>
    </row>
    <row r="695">
      <c r="A695" s="56" t="s">
        <v>3982</v>
      </c>
    </row>
    <row r="696">
      <c r="A696" s="56" t="s">
        <v>932</v>
      </c>
    </row>
    <row r="698">
      <c r="A698" s="56" t="s">
        <v>1579</v>
      </c>
    </row>
    <row r="699">
      <c r="A699" s="56" t="s">
        <v>1581</v>
      </c>
    </row>
    <row r="700">
      <c r="A700" s="56" t="s">
        <v>1582</v>
      </c>
    </row>
    <row r="701">
      <c r="A701" s="56" t="s">
        <v>1584</v>
      </c>
    </row>
    <row r="702">
      <c r="A702" s="56" t="s">
        <v>932</v>
      </c>
    </row>
    <row r="704">
      <c r="A704" s="56" t="s">
        <v>1588</v>
      </c>
    </row>
    <row r="705">
      <c r="A705" s="56" t="s">
        <v>1297</v>
      </c>
    </row>
    <row r="706">
      <c r="A706" s="56" t="s">
        <v>1298</v>
      </c>
    </row>
    <row r="707">
      <c r="A707" s="56" t="s">
        <v>1304</v>
      </c>
    </row>
    <row r="708">
      <c r="A708" s="56" t="s">
        <v>932</v>
      </c>
    </row>
    <row r="710">
      <c r="A710" s="56" t="s">
        <v>1268</v>
      </c>
    </row>
    <row r="711">
      <c r="A711" s="56" t="s">
        <v>3983</v>
      </c>
    </row>
    <row r="712">
      <c r="A712" s="56" t="s">
        <v>3982</v>
      </c>
    </row>
    <row r="713">
      <c r="A713" s="56" t="s">
        <v>3972</v>
      </c>
    </row>
    <row r="714">
      <c r="A714" s="56" t="s">
        <v>1171</v>
      </c>
    </row>
    <row r="715">
      <c r="A715" s="56" t="s">
        <v>1196</v>
      </c>
    </row>
    <row r="716">
      <c r="A716" s="56" t="s">
        <v>1060</v>
      </c>
    </row>
    <row r="717">
      <c r="A717" s="56" t="s">
        <v>1061</v>
      </c>
    </row>
    <row r="718">
      <c r="A718" s="56" t="s">
        <v>1017</v>
      </c>
    </row>
    <row r="719">
      <c r="A719" s="56" t="s">
        <v>1082</v>
      </c>
    </row>
    <row r="720">
      <c r="A720" s="56" t="s">
        <v>972</v>
      </c>
    </row>
    <row r="721">
      <c r="A721" s="56" t="s">
        <v>1020</v>
      </c>
    </row>
    <row r="722">
      <c r="A722" s="56" t="s">
        <v>1124</v>
      </c>
    </row>
    <row r="723">
      <c r="A723" s="56" t="s">
        <v>932</v>
      </c>
    </row>
    <row r="725">
      <c r="A725" s="56" t="s">
        <v>1604</v>
      </c>
    </row>
    <row r="726">
      <c r="A726" s="56" t="s">
        <v>1297</v>
      </c>
    </row>
    <row r="727">
      <c r="A727" s="56" t="s">
        <v>1298</v>
      </c>
    </row>
    <row r="728">
      <c r="A728" s="56" t="s">
        <v>1304</v>
      </c>
    </row>
    <row r="729">
      <c r="A729" s="56" t="s">
        <v>3984</v>
      </c>
    </row>
    <row r="730">
      <c r="A730" s="56" t="s">
        <v>932</v>
      </c>
    </row>
    <row r="732">
      <c r="A732" s="56" t="s">
        <v>1276</v>
      </c>
    </row>
    <row r="733">
      <c r="A733" s="56" t="s">
        <v>972</v>
      </c>
    </row>
    <row r="734">
      <c r="A734" s="56" t="s">
        <v>1181</v>
      </c>
    </row>
    <row r="735">
      <c r="A735" s="56" t="s">
        <v>1020</v>
      </c>
    </row>
    <row r="736">
      <c r="A736" s="56" t="s">
        <v>1182</v>
      </c>
    </row>
    <row r="737">
      <c r="A737" s="56" t="s">
        <v>3985</v>
      </c>
    </row>
    <row r="738">
      <c r="A738" s="56" t="s">
        <v>1614</v>
      </c>
    </row>
    <row r="739">
      <c r="A739" s="56" t="s">
        <v>1342</v>
      </c>
    </row>
    <row r="740">
      <c r="A740" s="56" t="s">
        <v>932</v>
      </c>
    </row>
    <row r="742">
      <c r="A742" s="56" t="s">
        <v>1616</v>
      </c>
    </row>
    <row r="743">
      <c r="A743" s="56" t="s">
        <v>948</v>
      </c>
    </row>
    <row r="744">
      <c r="A744" s="56" t="s">
        <v>1196</v>
      </c>
    </row>
    <row r="745">
      <c r="A745" s="56" t="s">
        <v>932</v>
      </c>
    </row>
    <row r="747">
      <c r="A747" s="56" t="s">
        <v>1622</v>
      </c>
    </row>
    <row r="748">
      <c r="A748" s="56" t="s">
        <v>951</v>
      </c>
    </row>
    <row r="749">
      <c r="A749" s="56" t="s">
        <v>966</v>
      </c>
    </row>
    <row r="750">
      <c r="A750" s="56" t="s">
        <v>932</v>
      </c>
    </row>
    <row r="752">
      <c r="A752" s="56" t="s">
        <v>1283</v>
      </c>
    </row>
    <row r="753">
      <c r="A753" s="56" t="s">
        <v>1629</v>
      </c>
    </row>
    <row r="754">
      <c r="A754" s="56" t="s">
        <v>1630</v>
      </c>
    </row>
    <row r="755">
      <c r="A755" s="56" t="s">
        <v>932</v>
      </c>
    </row>
    <row r="757">
      <c r="A757" s="56" t="s">
        <v>1632</v>
      </c>
    </row>
    <row r="758">
      <c r="A758" s="56" t="s">
        <v>1519</v>
      </c>
    </row>
    <row r="759">
      <c r="A759" s="56" t="s">
        <v>1635</v>
      </c>
    </row>
    <row r="760">
      <c r="A760" s="56" t="s">
        <v>1079</v>
      </c>
    </row>
    <row r="761">
      <c r="A761" s="56" t="s">
        <v>932</v>
      </c>
    </row>
    <row r="763">
      <c r="A763" s="56" t="s">
        <v>1287</v>
      </c>
    </row>
    <row r="764">
      <c r="A764" s="56" t="s">
        <v>1682</v>
      </c>
    </row>
    <row r="765">
      <c r="A765" s="56" t="s">
        <v>1640</v>
      </c>
    </row>
    <row r="766">
      <c r="A766" s="56" t="s">
        <v>3986</v>
      </c>
    </row>
    <row r="767">
      <c r="A767" s="56" t="s">
        <v>1052</v>
      </c>
    </row>
    <row r="768">
      <c r="A768" s="56" t="s">
        <v>966</v>
      </c>
    </row>
    <row r="769">
      <c r="A769" s="56" t="s">
        <v>1038</v>
      </c>
    </row>
    <row r="770">
      <c r="A770" s="56" t="s">
        <v>3964</v>
      </c>
    </row>
    <row r="771">
      <c r="A771" s="56" t="s">
        <v>1196</v>
      </c>
    </row>
    <row r="772">
      <c r="A772" s="56" t="s">
        <v>1275</v>
      </c>
    </row>
    <row r="773">
      <c r="A773" s="56" t="s">
        <v>1133</v>
      </c>
    </row>
    <row r="774">
      <c r="A774" s="56" t="s">
        <v>932</v>
      </c>
    </row>
    <row r="776">
      <c r="A776" s="56" t="s">
        <v>1669</v>
      </c>
    </row>
    <row r="777">
      <c r="A777" s="56" t="s">
        <v>1682</v>
      </c>
    </row>
    <row r="778">
      <c r="A778" s="56" t="s">
        <v>1119</v>
      </c>
    </row>
    <row r="779">
      <c r="A779" s="56" t="s">
        <v>1670</v>
      </c>
    </row>
    <row r="780">
      <c r="A780" s="56" t="s">
        <v>932</v>
      </c>
    </row>
    <row r="782">
      <c r="A782" s="56" t="s">
        <v>3987</v>
      </c>
    </row>
    <row r="783">
      <c r="A783" s="56" t="s">
        <v>1082</v>
      </c>
    </row>
    <row r="784">
      <c r="A784" s="56" t="s">
        <v>932</v>
      </c>
    </row>
    <row r="786">
      <c r="A786" s="56" t="s">
        <v>1674</v>
      </c>
    </row>
    <row r="787">
      <c r="A787" s="56" t="s">
        <v>3978</v>
      </c>
    </row>
    <row r="788">
      <c r="A788" s="56" t="s">
        <v>932</v>
      </c>
    </row>
    <row r="790">
      <c r="A790" s="56" t="s">
        <v>1676</v>
      </c>
    </row>
    <row r="791">
      <c r="A791" s="56" t="s">
        <v>1677</v>
      </c>
    </row>
    <row r="792">
      <c r="A792" s="56" t="s">
        <v>932</v>
      </c>
    </row>
    <row r="794">
      <c r="A794" s="56" t="s">
        <v>3988</v>
      </c>
    </row>
    <row r="795">
      <c r="A795" s="56" t="s">
        <v>3989</v>
      </c>
    </row>
    <row r="796">
      <c r="A796" s="56" t="s">
        <v>3990</v>
      </c>
    </row>
    <row r="797">
      <c r="A797" s="56" t="s">
        <v>3991</v>
      </c>
    </row>
    <row r="798">
      <c r="A798" s="56" t="s">
        <v>3992</v>
      </c>
    </row>
    <row r="799">
      <c r="A799" s="56" t="s">
        <v>932</v>
      </c>
    </row>
    <row r="801">
      <c r="A801" s="56" t="s">
        <v>1299</v>
      </c>
    </row>
    <row r="802">
      <c r="A802" s="56" t="s">
        <v>1300</v>
      </c>
    </row>
    <row r="803">
      <c r="A803" s="56" t="s">
        <v>1216</v>
      </c>
    </row>
    <row r="804">
      <c r="A804" s="56" t="s">
        <v>1020</v>
      </c>
    </row>
    <row r="805">
      <c r="A805" s="56" t="s">
        <v>1044</v>
      </c>
    </row>
    <row r="806">
      <c r="A806" s="56" t="s">
        <v>1052</v>
      </c>
    </row>
    <row r="807">
      <c r="A807" s="56" t="s">
        <v>966</v>
      </c>
    </row>
    <row r="808">
      <c r="A808" s="56" t="s">
        <v>1038</v>
      </c>
    </row>
    <row r="809">
      <c r="A809" s="56" t="s">
        <v>3993</v>
      </c>
    </row>
    <row r="810">
      <c r="A810" s="56" t="s">
        <v>1103</v>
      </c>
    </row>
    <row r="811">
      <c r="A811" s="56" t="s">
        <v>1213</v>
      </c>
    </row>
    <row r="812">
      <c r="A812" s="56" t="s">
        <v>932</v>
      </c>
    </row>
    <row r="814">
      <c r="A814" s="56" t="s">
        <v>2090</v>
      </c>
    </row>
    <row r="815">
      <c r="A815" s="56" t="s">
        <v>1275</v>
      </c>
    </row>
    <row r="816">
      <c r="A816" s="56" t="s">
        <v>1886</v>
      </c>
    </row>
    <row r="817">
      <c r="A817" s="56" t="s">
        <v>1271</v>
      </c>
    </row>
    <row r="818">
      <c r="A818" s="56" t="s">
        <v>932</v>
      </c>
    </row>
    <row r="820">
      <c r="A820" s="56" t="s">
        <v>2095</v>
      </c>
    </row>
    <row r="821">
      <c r="A821" s="56" t="s">
        <v>2097</v>
      </c>
    </row>
    <row r="822">
      <c r="A822" s="56" t="s">
        <v>3994</v>
      </c>
    </row>
    <row r="823">
      <c r="A823" s="56" t="s">
        <v>3995</v>
      </c>
    </row>
    <row r="824">
      <c r="A824" s="56" t="s">
        <v>932</v>
      </c>
    </row>
    <row r="826">
      <c r="A826" s="56" t="s">
        <v>2103</v>
      </c>
    </row>
    <row r="827">
      <c r="A827" s="56" t="s">
        <v>2105</v>
      </c>
    </row>
    <row r="828">
      <c r="A828" s="56" t="s">
        <v>3996</v>
      </c>
    </row>
    <row r="829">
      <c r="A829" s="56" t="s">
        <v>3997</v>
      </c>
    </row>
    <row r="830">
      <c r="A830" s="56" t="s">
        <v>932</v>
      </c>
    </row>
    <row r="832">
      <c r="A832" s="56" t="s">
        <v>2111</v>
      </c>
    </row>
    <row r="833">
      <c r="A833" s="56" t="s">
        <v>2113</v>
      </c>
    </row>
    <row r="834">
      <c r="A834" s="56" t="s">
        <v>3998</v>
      </c>
    </row>
    <row r="835">
      <c r="A835" s="56" t="s">
        <v>1715</v>
      </c>
    </row>
    <row r="836">
      <c r="A836" s="56" t="s">
        <v>932</v>
      </c>
    </row>
    <row r="838">
      <c r="A838" s="56" t="s">
        <v>2118</v>
      </c>
    </row>
    <row r="839">
      <c r="A839" s="56" t="s">
        <v>1280</v>
      </c>
    </row>
    <row r="840">
      <c r="A840" s="56" t="s">
        <v>1018</v>
      </c>
    </row>
    <row r="841">
      <c r="A841" s="56" t="s">
        <v>2108</v>
      </c>
    </row>
    <row r="842">
      <c r="A842" s="56" t="s">
        <v>932</v>
      </c>
    </row>
    <row r="844">
      <c r="A844" s="56" t="s">
        <v>2122</v>
      </c>
    </row>
    <row r="845">
      <c r="A845" s="56" t="s">
        <v>1275</v>
      </c>
    </row>
    <row r="846">
      <c r="A846" s="56" t="s">
        <v>1196</v>
      </c>
    </row>
    <row r="847">
      <c r="A847" s="56" t="s">
        <v>1271</v>
      </c>
    </row>
    <row r="848">
      <c r="A848" s="56" t="s">
        <v>932</v>
      </c>
    </row>
    <row r="850">
      <c r="A850" s="56" t="s">
        <v>2127</v>
      </c>
    </row>
    <row r="851">
      <c r="A851" s="56" t="s">
        <v>1304</v>
      </c>
    </row>
    <row r="852">
      <c r="A852" s="56" t="s">
        <v>3999</v>
      </c>
    </row>
    <row r="853">
      <c r="A853" s="56" t="s">
        <v>1298</v>
      </c>
    </row>
    <row r="854">
      <c r="A854" s="56" t="s">
        <v>932</v>
      </c>
    </row>
    <row r="856">
      <c r="A856" s="56" t="s">
        <v>4000</v>
      </c>
    </row>
    <row r="857">
      <c r="A857" s="56" t="s">
        <v>4001</v>
      </c>
    </row>
    <row r="858">
      <c r="A858" s="56" t="s">
        <v>2512</v>
      </c>
    </row>
    <row r="859">
      <c r="A859" s="56" t="s">
        <v>1715</v>
      </c>
    </row>
    <row r="860">
      <c r="A860" s="56" t="s">
        <v>932</v>
      </c>
    </row>
    <row r="862">
      <c r="A862" s="56" t="s">
        <v>4002</v>
      </c>
    </row>
    <row r="863">
      <c r="A863" s="56" t="s">
        <v>4003</v>
      </c>
    </row>
    <row r="864">
      <c r="A864" s="56" t="s">
        <v>4004</v>
      </c>
    </row>
    <row r="865">
      <c r="A865" s="56" t="s">
        <v>3995</v>
      </c>
    </row>
    <row r="866">
      <c r="A866" s="56" t="s">
        <v>1375</v>
      </c>
    </row>
    <row r="867">
      <c r="A867" s="56" t="s">
        <v>932</v>
      </c>
    </row>
    <row r="869">
      <c r="A869" s="56" t="s">
        <v>4005</v>
      </c>
    </row>
    <row r="870">
      <c r="A870" s="56" t="s">
        <v>4006</v>
      </c>
    </row>
    <row r="871">
      <c r="A871" s="56" t="s">
        <v>2147</v>
      </c>
    </row>
    <row r="872">
      <c r="A872" s="56" t="s">
        <v>4007</v>
      </c>
    </row>
    <row r="873">
      <c r="A873" s="56" t="s">
        <v>1275</v>
      </c>
    </row>
    <row r="874">
      <c r="A874" s="56" t="s">
        <v>1886</v>
      </c>
    </row>
    <row r="875">
      <c r="A875" s="56" t="s">
        <v>1271</v>
      </c>
    </row>
    <row r="876">
      <c r="A876" s="56" t="s">
        <v>932</v>
      </c>
    </row>
    <row r="878">
      <c r="A878" s="56" t="s">
        <v>1319</v>
      </c>
    </row>
    <row r="879">
      <c r="A879" s="56" t="s">
        <v>1681</v>
      </c>
    </row>
    <row r="880">
      <c r="A880" s="56" t="s">
        <v>1180</v>
      </c>
    </row>
    <row r="881">
      <c r="A881" s="56" t="s">
        <v>1362</v>
      </c>
    </row>
    <row r="882">
      <c r="A882" s="56" t="s">
        <v>4008</v>
      </c>
    </row>
    <row r="883">
      <c r="A883" s="56" t="s">
        <v>3954</v>
      </c>
    </row>
    <row r="884">
      <c r="A884" s="56" t="s">
        <v>932</v>
      </c>
    </row>
    <row r="886">
      <c r="A886" s="56" t="s">
        <v>1321</v>
      </c>
    </row>
    <row r="887">
      <c r="A887" s="56" t="s">
        <v>1171</v>
      </c>
    </row>
    <row r="888">
      <c r="A888" s="56" t="s">
        <v>1172</v>
      </c>
    </row>
    <row r="889">
      <c r="A889" s="56" t="s">
        <v>4009</v>
      </c>
    </row>
    <row r="890">
      <c r="A890" s="56" t="s">
        <v>1006</v>
      </c>
    </row>
    <row r="891">
      <c r="A891" s="56" t="s">
        <v>1061</v>
      </c>
    </row>
    <row r="892">
      <c r="A892" s="56" t="s">
        <v>1082</v>
      </c>
    </row>
    <row r="893">
      <c r="A893" s="56" t="s">
        <v>972</v>
      </c>
    </row>
    <row r="894">
      <c r="A894" s="56" t="s">
        <v>981</v>
      </c>
    </row>
    <row r="895">
      <c r="A895" s="56" t="s">
        <v>1138</v>
      </c>
    </row>
    <row r="896">
      <c r="A896" s="56" t="s">
        <v>932</v>
      </c>
    </row>
    <row r="898">
      <c r="A898" s="56" t="s">
        <v>1708</v>
      </c>
    </row>
    <row r="899">
      <c r="A899" s="56" t="s">
        <v>1271</v>
      </c>
    </row>
    <row r="900">
      <c r="A900" s="56" t="s">
        <v>2675</v>
      </c>
    </row>
    <row r="901">
      <c r="A901" s="56" t="s">
        <v>4010</v>
      </c>
    </row>
    <row r="902">
      <c r="A902" s="56" t="s">
        <v>932</v>
      </c>
    </row>
    <row r="904">
      <c r="A904" s="56" t="s">
        <v>1713</v>
      </c>
    </row>
    <row r="905">
      <c r="A905" s="56" t="s">
        <v>1526</v>
      </c>
    </row>
    <row r="906">
      <c r="A906" s="56" t="s">
        <v>4011</v>
      </c>
    </row>
    <row r="907">
      <c r="A907" s="56" t="s">
        <v>932</v>
      </c>
    </row>
    <row r="909">
      <c r="A909" s="56" t="s">
        <v>1720</v>
      </c>
    </row>
    <row r="910">
      <c r="A910" s="56" t="s">
        <v>1519</v>
      </c>
    </row>
    <row r="911">
      <c r="A911" s="56" t="s">
        <v>4012</v>
      </c>
    </row>
    <row r="912">
      <c r="A912" s="56" t="s">
        <v>1275</v>
      </c>
    </row>
    <row r="913">
      <c r="A913" s="56" t="s">
        <v>1375</v>
      </c>
    </row>
    <row r="914">
      <c r="A914" s="56" t="s">
        <v>972</v>
      </c>
    </row>
    <row r="915">
      <c r="A915" s="56" t="s">
        <v>1020</v>
      </c>
    </row>
    <row r="916">
      <c r="A916" s="56" t="s">
        <v>1124</v>
      </c>
    </row>
    <row r="917">
      <c r="A917" s="56" t="s">
        <v>1006</v>
      </c>
    </row>
    <row r="918">
      <c r="A918" s="56" t="s">
        <v>1005</v>
      </c>
    </row>
    <row r="919">
      <c r="A919" s="56" t="s">
        <v>932</v>
      </c>
    </row>
    <row r="921">
      <c r="A921" s="56" t="s">
        <v>1728</v>
      </c>
    </row>
    <row r="922">
      <c r="A922" s="56" t="s">
        <v>1519</v>
      </c>
    </row>
    <row r="923">
      <c r="A923" s="56" t="s">
        <v>945</v>
      </c>
    </row>
    <row r="924">
      <c r="A924" s="56" t="s">
        <v>1731</v>
      </c>
    </row>
    <row r="925">
      <c r="A925" s="56" t="s">
        <v>1733</v>
      </c>
    </row>
    <row r="926">
      <c r="A926" s="56" t="s">
        <v>4013</v>
      </c>
    </row>
    <row r="927">
      <c r="A927" s="56" t="s">
        <v>932</v>
      </c>
    </row>
    <row r="929">
      <c r="A929" s="56" t="s">
        <v>4014</v>
      </c>
    </row>
    <row r="930">
      <c r="A930" s="56" t="s">
        <v>3984</v>
      </c>
    </row>
    <row r="931">
      <c r="A931" s="56" t="s">
        <v>932</v>
      </c>
    </row>
    <row r="933">
      <c r="A933" s="56" t="s">
        <v>4015</v>
      </c>
    </row>
    <row r="934">
      <c r="A934" s="56" t="s">
        <v>4016</v>
      </c>
    </row>
    <row r="935">
      <c r="A935" s="56" t="s">
        <v>4017</v>
      </c>
    </row>
    <row r="936">
      <c r="A936" s="56" t="s">
        <v>966</v>
      </c>
    </row>
    <row r="937">
      <c r="A937" s="56" t="s">
        <v>1571</v>
      </c>
    </row>
    <row r="938">
      <c r="A938" s="56" t="s">
        <v>932</v>
      </c>
    </row>
    <row r="940">
      <c r="A940" s="56" t="s">
        <v>1755</v>
      </c>
    </row>
    <row r="941">
      <c r="A941" s="56" t="s">
        <v>4018</v>
      </c>
    </row>
    <row r="942">
      <c r="A942" s="56" t="s">
        <v>932</v>
      </c>
    </row>
    <row r="944">
      <c r="A944" s="56" t="s">
        <v>1770</v>
      </c>
    </row>
    <row r="945">
      <c r="A945" s="56" t="s">
        <v>1601</v>
      </c>
    </row>
    <row r="946">
      <c r="A946" s="56" t="s">
        <v>966</v>
      </c>
    </row>
    <row r="947">
      <c r="A947" s="56" t="s">
        <v>951</v>
      </c>
    </row>
    <row r="948">
      <c r="A948" s="56" t="s">
        <v>4019</v>
      </c>
    </row>
    <row r="949">
      <c r="A949" s="56" t="s">
        <v>1775</v>
      </c>
    </row>
    <row r="950">
      <c r="A950" s="56" t="s">
        <v>1776</v>
      </c>
    </row>
    <row r="951">
      <c r="A951" s="56" t="s">
        <v>1777</v>
      </c>
    </row>
    <row r="952">
      <c r="A952" s="56" t="s">
        <v>1006</v>
      </c>
    </row>
    <row r="953">
      <c r="A953" s="56" t="s">
        <v>4020</v>
      </c>
    </row>
    <row r="954">
      <c r="A954" s="56" t="s">
        <v>932</v>
      </c>
    </row>
    <row r="956">
      <c r="A956" s="56" t="s">
        <v>1780</v>
      </c>
    </row>
    <row r="957">
      <c r="A957" s="56" t="s">
        <v>1044</v>
      </c>
    </row>
    <row r="958">
      <c r="A958" s="56" t="s">
        <v>1052</v>
      </c>
    </row>
    <row r="959">
      <c r="A959" s="56" t="s">
        <v>1196</v>
      </c>
    </row>
    <row r="960">
      <c r="A960" s="56" t="s">
        <v>4021</v>
      </c>
    </row>
    <row r="961">
      <c r="A961" s="56" t="s">
        <v>932</v>
      </c>
    </row>
    <row r="963">
      <c r="A963" s="56" t="s">
        <v>1786</v>
      </c>
    </row>
    <row r="964">
      <c r="A964" s="56" t="s">
        <v>972</v>
      </c>
    </row>
    <row r="965">
      <c r="A965" s="56" t="s">
        <v>1020</v>
      </c>
    </row>
    <row r="966">
      <c r="A966" s="56" t="s">
        <v>1181</v>
      </c>
    </row>
    <row r="967">
      <c r="A967" s="56" t="s">
        <v>4022</v>
      </c>
    </row>
    <row r="968">
      <c r="A968" s="56" t="s">
        <v>1614</v>
      </c>
    </row>
    <row r="969">
      <c r="A969" s="56" t="s">
        <v>1792</v>
      </c>
    </row>
    <row r="970">
      <c r="A970" s="56" t="s">
        <v>932</v>
      </c>
    </row>
    <row r="972">
      <c r="A972" s="56" t="s">
        <v>1796</v>
      </c>
    </row>
    <row r="973">
      <c r="A973" s="56" t="s">
        <v>1044</v>
      </c>
    </row>
    <row r="974">
      <c r="A974" s="56" t="s">
        <v>4023</v>
      </c>
    </row>
    <row r="975">
      <c r="A975" s="56" t="s">
        <v>1036</v>
      </c>
    </row>
    <row r="976">
      <c r="A976" s="56" t="s">
        <v>1430</v>
      </c>
    </row>
    <row r="977">
      <c r="A977" s="56" t="s">
        <v>932</v>
      </c>
    </row>
    <row r="979">
      <c r="A979" s="56" t="s">
        <v>1799</v>
      </c>
    </row>
    <row r="980">
      <c r="A980" s="56" t="s">
        <v>1035</v>
      </c>
    </row>
    <row r="981">
      <c r="A981" s="56" t="s">
        <v>1036</v>
      </c>
    </row>
    <row r="982">
      <c r="A982" s="56" t="s">
        <v>1038</v>
      </c>
    </row>
    <row r="983">
      <c r="A983" s="56" t="s">
        <v>1068</v>
      </c>
    </row>
    <row r="984">
      <c r="A984" s="56" t="s">
        <v>1196</v>
      </c>
    </row>
    <row r="985">
      <c r="A985" s="56" t="s">
        <v>1783</v>
      </c>
    </row>
    <row r="986">
      <c r="A986" s="56" t="s">
        <v>932</v>
      </c>
    </row>
    <row r="988">
      <c r="A988" s="56" t="s">
        <v>1807</v>
      </c>
    </row>
    <row r="989">
      <c r="A989" s="56" t="s">
        <v>1017</v>
      </c>
    </row>
    <row r="990">
      <c r="A990" s="56" t="s">
        <v>1196</v>
      </c>
    </row>
    <row r="991">
      <c r="A991" s="56" t="s">
        <v>4024</v>
      </c>
    </row>
    <row r="992">
      <c r="A992" s="56" t="s">
        <v>932</v>
      </c>
    </row>
    <row r="994">
      <c r="A994" s="56" t="s">
        <v>1812</v>
      </c>
    </row>
    <row r="995">
      <c r="A995" s="56" t="s">
        <v>1814</v>
      </c>
    </row>
    <row r="996">
      <c r="A996" s="56" t="s">
        <v>932</v>
      </c>
    </row>
    <row r="998">
      <c r="A998" s="56" t="s">
        <v>1817</v>
      </c>
    </row>
    <row r="999">
      <c r="A999" s="56" t="s">
        <v>1614</v>
      </c>
    </row>
    <row r="1000">
      <c r="A1000" s="56" t="s">
        <v>3978</v>
      </c>
    </row>
    <row r="1001">
      <c r="A1001" s="56" t="s">
        <v>3977</v>
      </c>
    </row>
    <row r="1002">
      <c r="A1002" s="56" t="s">
        <v>932</v>
      </c>
    </row>
    <row r="1004">
      <c r="A1004" s="56" t="s">
        <v>1822</v>
      </c>
    </row>
    <row r="1005">
      <c r="A1005" s="56" t="s">
        <v>1362</v>
      </c>
    </row>
    <row r="1006">
      <c r="A1006" s="56" t="s">
        <v>1688</v>
      </c>
    </row>
    <row r="1007">
      <c r="A1007" s="56" t="s">
        <v>1021</v>
      </c>
    </row>
    <row r="1008">
      <c r="A1008" s="56" t="s">
        <v>3965</v>
      </c>
    </row>
    <row r="1009">
      <c r="A1009" s="56" t="s">
        <v>932</v>
      </c>
    </row>
    <row r="1011">
      <c r="A1011" s="56" t="s">
        <v>1828</v>
      </c>
    </row>
    <row r="1012">
      <c r="A1012" s="56" t="s">
        <v>972</v>
      </c>
    </row>
    <row r="1013">
      <c r="A1013" s="56" t="s">
        <v>981</v>
      </c>
    </row>
    <row r="1014">
      <c r="A1014" s="56" t="s">
        <v>1020</v>
      </c>
    </row>
    <row r="1015">
      <c r="A1015" s="56" t="s">
        <v>1958</v>
      </c>
    </row>
    <row r="1016">
      <c r="A1016" s="56" t="s">
        <v>4025</v>
      </c>
    </row>
    <row r="1017">
      <c r="A1017" s="56" t="s">
        <v>4026</v>
      </c>
    </row>
    <row r="1018">
      <c r="A1018" s="56" t="s">
        <v>932</v>
      </c>
    </row>
    <row r="1020">
      <c r="A1020" s="56" t="s">
        <v>1840</v>
      </c>
    </row>
    <row r="1021">
      <c r="A1021" s="56" t="s">
        <v>1035</v>
      </c>
    </row>
    <row r="1022">
      <c r="A1022" s="56" t="s">
        <v>1036</v>
      </c>
    </row>
    <row r="1023">
      <c r="A1023" s="56" t="s">
        <v>1038</v>
      </c>
    </row>
    <row r="1024">
      <c r="A1024" s="56" t="s">
        <v>3964</v>
      </c>
    </row>
    <row r="1025">
      <c r="A1025" s="56" t="s">
        <v>4027</v>
      </c>
    </row>
    <row r="1026">
      <c r="A1026" s="56" t="s">
        <v>932</v>
      </c>
    </row>
    <row r="1028">
      <c r="A1028" s="56" t="s">
        <v>1850</v>
      </c>
    </row>
    <row r="1029">
      <c r="A1029" s="56" t="s">
        <v>1044</v>
      </c>
    </row>
    <row r="1030">
      <c r="A1030" s="56" t="s">
        <v>2728</v>
      </c>
    </row>
    <row r="1031">
      <c r="A1031" s="56" t="s">
        <v>1036</v>
      </c>
    </row>
    <row r="1032">
      <c r="A1032" s="56" t="s">
        <v>1430</v>
      </c>
    </row>
    <row r="1033">
      <c r="A1033" s="56" t="s">
        <v>932</v>
      </c>
    </row>
    <row r="1035">
      <c r="A1035" s="56" t="s">
        <v>1349</v>
      </c>
    </row>
    <row r="1036">
      <c r="A1036" s="56" t="s">
        <v>1350</v>
      </c>
    </row>
    <row r="1037">
      <c r="A1037" s="56" t="s">
        <v>4028</v>
      </c>
    </row>
    <row r="1038">
      <c r="A1038" s="56" t="s">
        <v>1119</v>
      </c>
    </row>
    <row r="1039">
      <c r="A1039" s="56" t="s">
        <v>4029</v>
      </c>
    </row>
    <row r="1040">
      <c r="A1040" s="56" t="s">
        <v>972</v>
      </c>
    </row>
    <row r="1041">
      <c r="A1041" s="56" t="s">
        <v>1020</v>
      </c>
    </row>
    <row r="1042">
      <c r="A1042" s="56" t="s">
        <v>1182</v>
      </c>
    </row>
    <row r="1043">
      <c r="A1043" s="56" t="s">
        <v>1342</v>
      </c>
    </row>
    <row r="1044">
      <c r="A1044" s="56" t="s">
        <v>932</v>
      </c>
    </row>
    <row r="1046">
      <c r="A1046" s="56" t="s">
        <v>1911</v>
      </c>
    </row>
    <row r="1047">
      <c r="A1047" s="56" t="s">
        <v>1375</v>
      </c>
    </row>
    <row r="1048">
      <c r="A1048" s="56" t="s">
        <v>979</v>
      </c>
    </row>
    <row r="1049">
      <c r="A1049" s="56" t="s">
        <v>4030</v>
      </c>
    </row>
    <row r="1050">
      <c r="A1050" s="56" t="s">
        <v>4031</v>
      </c>
    </row>
    <row r="1051">
      <c r="A1051" s="56" t="s">
        <v>932</v>
      </c>
    </row>
    <row r="1053">
      <c r="A1053" s="56" t="s">
        <v>1920</v>
      </c>
    </row>
    <row r="1054">
      <c r="A1054" s="56" t="s">
        <v>1382</v>
      </c>
    </row>
    <row r="1055">
      <c r="A1055" s="56" t="s">
        <v>4032</v>
      </c>
    </row>
    <row r="1056">
      <c r="A1056" s="56" t="s">
        <v>1925</v>
      </c>
    </row>
    <row r="1057">
      <c r="A1057" s="56" t="s">
        <v>1927</v>
      </c>
    </row>
    <row r="1058">
      <c r="A1058" s="56" t="s">
        <v>1080</v>
      </c>
    </row>
    <row r="1059">
      <c r="A1059" s="56" t="s">
        <v>1081</v>
      </c>
    </row>
    <row r="1060">
      <c r="A1060" s="56" t="s">
        <v>1196</v>
      </c>
    </row>
    <row r="1061">
      <c r="A1061" s="56" t="s">
        <v>932</v>
      </c>
    </row>
    <row r="1063">
      <c r="A1063" s="56" t="s">
        <v>1936</v>
      </c>
    </row>
    <row r="1064">
      <c r="A1064" s="56" t="s">
        <v>4033</v>
      </c>
    </row>
    <row r="1065">
      <c r="A1065" s="56" t="s">
        <v>1103</v>
      </c>
    </row>
    <row r="1066">
      <c r="A1066" s="56" t="s">
        <v>932</v>
      </c>
    </row>
    <row r="1068">
      <c r="A1068" s="56" t="s">
        <v>1358</v>
      </c>
    </row>
    <row r="1069">
      <c r="A1069" s="56" t="s">
        <v>4034</v>
      </c>
    </row>
    <row r="1070">
      <c r="A1070" s="56" t="s">
        <v>972</v>
      </c>
    </row>
    <row r="1071">
      <c r="A1071" s="56" t="s">
        <v>1020</v>
      </c>
    </row>
    <row r="1072">
      <c r="A1072" s="56" t="s">
        <v>1124</v>
      </c>
    </row>
    <row r="1073">
      <c r="A1073" s="56" t="s">
        <v>1074</v>
      </c>
    </row>
    <row r="1074">
      <c r="A1074" s="56" t="s">
        <v>948</v>
      </c>
    </row>
    <row r="1075">
      <c r="A1075" s="56" t="s">
        <v>1196</v>
      </c>
    </row>
    <row r="1076">
      <c r="A1076" s="56" t="s">
        <v>1064</v>
      </c>
    </row>
    <row r="1077">
      <c r="A1077" s="56" t="s">
        <v>932</v>
      </c>
    </row>
    <row r="1079">
      <c r="A1079" s="56" t="s">
        <v>1364</v>
      </c>
    </row>
    <row r="1080">
      <c r="A1080" s="56" t="s">
        <v>1026</v>
      </c>
    </row>
    <row r="1081">
      <c r="A1081" s="56" t="s">
        <v>4035</v>
      </c>
    </row>
    <row r="1082">
      <c r="A1082" s="56" t="s">
        <v>4036</v>
      </c>
    </row>
    <row r="1083">
      <c r="A1083" s="56" t="s">
        <v>4037</v>
      </c>
    </row>
    <row r="1084">
      <c r="A1084" s="56" t="s">
        <v>4038</v>
      </c>
    </row>
    <row r="1085">
      <c r="A1085" s="56" t="s">
        <v>1031</v>
      </c>
    </row>
    <row r="1086">
      <c r="A1086" s="56" t="s">
        <v>4039</v>
      </c>
    </row>
    <row r="1087">
      <c r="A1087" s="56" t="s">
        <v>932</v>
      </c>
    </row>
    <row r="1089">
      <c r="A1089" s="56" t="s">
        <v>2719</v>
      </c>
    </row>
    <row r="1090">
      <c r="A1090" s="56" t="s">
        <v>4040</v>
      </c>
    </row>
    <row r="1091">
      <c r="A1091" s="56" t="s">
        <v>1571</v>
      </c>
    </row>
    <row r="1092">
      <c r="A1092" s="56" t="s">
        <v>1196</v>
      </c>
    </row>
    <row r="1093">
      <c r="A1093" s="56" t="s">
        <v>948</v>
      </c>
    </row>
    <row r="1094">
      <c r="A1094" s="56" t="s">
        <v>932</v>
      </c>
    </row>
    <row r="1096">
      <c r="A1096" s="56" t="s">
        <v>2725</v>
      </c>
    </row>
    <row r="1097">
      <c r="A1097" s="56" t="s">
        <v>1733</v>
      </c>
    </row>
    <row r="1098">
      <c r="A1098" s="56" t="s">
        <v>2728</v>
      </c>
    </row>
    <row r="1099">
      <c r="A1099" s="56" t="s">
        <v>951</v>
      </c>
    </row>
    <row r="1100">
      <c r="A1100" s="56" t="s">
        <v>1419</v>
      </c>
    </row>
    <row r="1101">
      <c r="A1101" s="56" t="s">
        <v>966</v>
      </c>
    </row>
    <row r="1102">
      <c r="A1102" s="56" t="s">
        <v>932</v>
      </c>
    </row>
    <row r="1104">
      <c r="A1104" s="56" t="s">
        <v>1371</v>
      </c>
    </row>
    <row r="1105">
      <c r="A1105" s="56" t="s">
        <v>1941</v>
      </c>
    </row>
    <row r="1106">
      <c r="A1106" s="56" t="s">
        <v>4028</v>
      </c>
    </row>
    <row r="1107">
      <c r="A1107" s="56" t="s">
        <v>1614</v>
      </c>
    </row>
    <row r="1108">
      <c r="A1108" s="56" t="s">
        <v>972</v>
      </c>
    </row>
    <row r="1109">
      <c r="A1109" s="56" t="s">
        <v>1020</v>
      </c>
    </row>
    <row r="1110">
      <c r="A1110" s="56" t="s">
        <v>1181</v>
      </c>
    </row>
    <row r="1111">
      <c r="A1111" s="56" t="s">
        <v>1074</v>
      </c>
    </row>
    <row r="1112">
      <c r="A1112" s="56" t="s">
        <v>1342</v>
      </c>
    </row>
    <row r="1113">
      <c r="A1113" s="56" t="s">
        <v>4029</v>
      </c>
    </row>
    <row r="1114">
      <c r="A1114" s="56" t="s">
        <v>932</v>
      </c>
    </row>
    <row r="1116">
      <c r="A1116" s="56" t="s">
        <v>1951</v>
      </c>
    </row>
    <row r="1117">
      <c r="A1117" s="56" t="s">
        <v>1063</v>
      </c>
    </row>
    <row r="1118">
      <c r="A1118" s="56" t="s">
        <v>1196</v>
      </c>
    </row>
    <row r="1119">
      <c r="A1119" s="56" t="s">
        <v>932</v>
      </c>
    </row>
    <row r="1121">
      <c r="A1121" s="56" t="s">
        <v>1956</v>
      </c>
    </row>
    <row r="1122">
      <c r="A1122" s="56" t="s">
        <v>972</v>
      </c>
    </row>
    <row r="1123">
      <c r="A1123" s="56" t="s">
        <v>1219</v>
      </c>
    </row>
    <row r="1124">
      <c r="A1124" s="56" t="s">
        <v>1020</v>
      </c>
    </row>
    <row r="1125">
      <c r="A1125" s="56" t="s">
        <v>932</v>
      </c>
    </row>
    <row r="1127">
      <c r="A1127" s="56" t="s">
        <v>1961</v>
      </c>
    </row>
    <row r="1128">
      <c r="A1128" s="56" t="s">
        <v>1171</v>
      </c>
    </row>
    <row r="1129">
      <c r="A1129" s="56" t="s">
        <v>3972</v>
      </c>
    </row>
    <row r="1130">
      <c r="A1130" s="56" t="s">
        <v>951</v>
      </c>
    </row>
    <row r="1131">
      <c r="A1131" s="56" t="s">
        <v>3948</v>
      </c>
    </row>
    <row r="1132">
      <c r="A1132" s="56" t="s">
        <v>1060</v>
      </c>
    </row>
    <row r="1133">
      <c r="A1133" s="56" t="s">
        <v>1061</v>
      </c>
    </row>
    <row r="1134">
      <c r="A1134" s="56" t="s">
        <v>1063</v>
      </c>
    </row>
    <row r="1135">
      <c r="A1135" s="56" t="s">
        <v>1064</v>
      </c>
    </row>
    <row r="1136">
      <c r="A1136" s="56" t="s">
        <v>1082</v>
      </c>
    </row>
    <row r="1137">
      <c r="A1137" s="56" t="s">
        <v>932</v>
      </c>
    </row>
    <row r="1139">
      <c r="A1139" s="56" t="s">
        <v>1966</v>
      </c>
    </row>
    <row r="1140">
      <c r="A1140" s="56" t="s">
        <v>1275</v>
      </c>
    </row>
    <row r="1141">
      <c r="A1141" s="56" t="s">
        <v>3943</v>
      </c>
    </row>
    <row r="1142">
      <c r="A1142" s="56" t="s">
        <v>932</v>
      </c>
    </row>
    <row r="1144">
      <c r="A1144" s="56" t="s">
        <v>1968</v>
      </c>
    </row>
    <row r="1145">
      <c r="A1145" s="56" t="s">
        <v>1234</v>
      </c>
    </row>
    <row r="1146">
      <c r="A1146" s="56" t="s">
        <v>1018</v>
      </c>
    </row>
    <row r="1147">
      <c r="A1147" s="56" t="s">
        <v>1236</v>
      </c>
    </row>
    <row r="1148">
      <c r="A1148" s="56" t="s">
        <v>932</v>
      </c>
    </row>
    <row r="1150">
      <c r="A1150" s="56" t="s">
        <v>1381</v>
      </c>
    </row>
    <row r="1151">
      <c r="A1151" s="56" t="s">
        <v>1383</v>
      </c>
    </row>
    <row r="1152">
      <c r="A1152" s="56" t="s">
        <v>1173</v>
      </c>
    </row>
    <row r="1153">
      <c r="A1153" s="56" t="s">
        <v>1180</v>
      </c>
    </row>
    <row r="1154">
      <c r="A1154" s="56" t="s">
        <v>1018</v>
      </c>
    </row>
    <row r="1155">
      <c r="A1155" s="56" t="s">
        <v>972</v>
      </c>
    </row>
    <row r="1156">
      <c r="A1156" s="56" t="s">
        <v>1020</v>
      </c>
    </row>
    <row r="1157">
      <c r="A1157" s="56" t="s">
        <v>1181</v>
      </c>
    </row>
    <row r="1158">
      <c r="A1158" s="56" t="s">
        <v>1342</v>
      </c>
    </row>
    <row r="1159">
      <c r="A1159" s="56" t="s">
        <v>1182</v>
      </c>
    </row>
    <row r="1160">
      <c r="A1160" s="56" t="s">
        <v>4041</v>
      </c>
    </row>
    <row r="1161">
      <c r="A1161" s="56" t="s">
        <v>932</v>
      </c>
    </row>
    <row r="1163">
      <c r="A1163" s="56" t="s">
        <v>2249</v>
      </c>
    </row>
    <row r="1164">
      <c r="A1164" s="56" t="s">
        <v>4042</v>
      </c>
    </row>
    <row r="1165">
      <c r="A1165" s="56" t="s">
        <v>966</v>
      </c>
    </row>
    <row r="1166">
      <c r="A1166" s="56" t="s">
        <v>932</v>
      </c>
    </row>
    <row r="1168">
      <c r="A1168" s="56" t="s">
        <v>2255</v>
      </c>
    </row>
    <row r="1169">
      <c r="A1169" s="56" t="s">
        <v>1044</v>
      </c>
    </row>
    <row r="1170">
      <c r="A1170" s="56" t="s">
        <v>1063</v>
      </c>
    </row>
    <row r="1171">
      <c r="A1171" s="56" t="s">
        <v>3932</v>
      </c>
    </row>
    <row r="1172">
      <c r="A1172" s="56" t="s">
        <v>1783</v>
      </c>
    </row>
    <row r="1173">
      <c r="A1173" s="56" t="s">
        <v>932</v>
      </c>
    </row>
    <row r="1175">
      <c r="A1175" s="56" t="s">
        <v>2261</v>
      </c>
    </row>
    <row r="1176">
      <c r="A1176" s="56" t="s">
        <v>2025</v>
      </c>
    </row>
    <row r="1177">
      <c r="A1177" s="56" t="s">
        <v>932</v>
      </c>
    </row>
    <row r="1179">
      <c r="A1179" s="56" t="s">
        <v>2263</v>
      </c>
    </row>
    <row r="1180">
      <c r="A1180" s="56" t="s">
        <v>1052</v>
      </c>
    </row>
    <row r="1181">
      <c r="A1181" s="56" t="s">
        <v>3932</v>
      </c>
    </row>
    <row r="1182">
      <c r="A1182" s="56" t="s">
        <v>1038</v>
      </c>
    </row>
    <row r="1183">
      <c r="A1183" s="56" t="s">
        <v>1068</v>
      </c>
    </row>
    <row r="1184">
      <c r="A1184" s="56" t="s">
        <v>966</v>
      </c>
    </row>
    <row r="1185">
      <c r="A1185" s="56" t="s">
        <v>932</v>
      </c>
    </row>
    <row r="1187">
      <c r="A1187" s="56" t="s">
        <v>2272</v>
      </c>
    </row>
    <row r="1188">
      <c r="A1188" s="56" t="s">
        <v>1032</v>
      </c>
    </row>
    <row r="1189">
      <c r="A1189" s="56" t="s">
        <v>4043</v>
      </c>
    </row>
    <row r="1190">
      <c r="A1190" s="56" t="s">
        <v>1036</v>
      </c>
    </row>
    <row r="1191">
      <c r="A1191" s="56" t="s">
        <v>1430</v>
      </c>
    </row>
    <row r="1192">
      <c r="A1192" s="56" t="s">
        <v>932</v>
      </c>
    </row>
    <row r="1194">
      <c r="A1194" s="56" t="s">
        <v>2278</v>
      </c>
    </row>
    <row r="1195">
      <c r="A1195" s="56" t="s">
        <v>972</v>
      </c>
    </row>
    <row r="1196">
      <c r="A1196" s="56" t="s">
        <v>1275</v>
      </c>
    </row>
    <row r="1197">
      <c r="A1197" s="56" t="s">
        <v>4044</v>
      </c>
    </row>
    <row r="1198">
      <c r="A1198" s="56" t="s">
        <v>1060</v>
      </c>
    </row>
    <row r="1199">
      <c r="A1199" s="56" t="s">
        <v>2281</v>
      </c>
    </row>
    <row r="1200">
      <c r="A1200" s="56" t="s">
        <v>1958</v>
      </c>
    </row>
    <row r="1201">
      <c r="A1201" s="56" t="s">
        <v>932</v>
      </c>
    </row>
    <row r="1203">
      <c r="A1203" s="56" t="s">
        <v>2284</v>
      </c>
    </row>
    <row r="1204">
      <c r="A1204" s="56" t="s">
        <v>1132</v>
      </c>
    </row>
    <row r="1205">
      <c r="A1205" s="56" t="s">
        <v>1061</v>
      </c>
    </row>
    <row r="1206">
      <c r="A1206" s="56" t="s">
        <v>1063</v>
      </c>
    </row>
    <row r="1207">
      <c r="A1207" s="56" t="s">
        <v>966</v>
      </c>
    </row>
    <row r="1208">
      <c r="A1208" s="56" t="s">
        <v>1196</v>
      </c>
    </row>
    <row r="1209">
      <c r="A1209" s="56" t="s">
        <v>1309</v>
      </c>
    </row>
    <row r="1210">
      <c r="A1210" s="56" t="s">
        <v>2288</v>
      </c>
    </row>
    <row r="1211">
      <c r="A1211" s="56" t="s">
        <v>4045</v>
      </c>
    </row>
    <row r="1212">
      <c r="A1212" s="56" t="s">
        <v>1082</v>
      </c>
    </row>
    <row r="1213">
      <c r="A1213" s="56" t="s">
        <v>932</v>
      </c>
    </row>
    <row r="1215">
      <c r="A1215" s="56" t="s">
        <v>2298</v>
      </c>
    </row>
    <row r="1216">
      <c r="A1216" s="56" t="s">
        <v>1171</v>
      </c>
    </row>
    <row r="1217">
      <c r="A1217" s="56" t="s">
        <v>951</v>
      </c>
    </row>
    <row r="1218">
      <c r="A1218" s="56" t="s">
        <v>1174</v>
      </c>
    </row>
    <row r="1219">
      <c r="A1219" s="56" t="s">
        <v>932</v>
      </c>
    </row>
    <row r="1221">
      <c r="A1221" s="56" t="s">
        <v>4046</v>
      </c>
    </row>
    <row r="1222">
      <c r="A1222" s="56" t="s">
        <v>4047</v>
      </c>
    </row>
    <row r="1223">
      <c r="A1223" s="56" t="s">
        <v>2030</v>
      </c>
    </row>
    <row r="1224">
      <c r="A1224" s="56" t="s">
        <v>2660</v>
      </c>
    </row>
    <row r="1225">
      <c r="A1225" s="56" t="s">
        <v>2801</v>
      </c>
    </row>
    <row r="1226">
      <c r="A1226" s="56" t="s">
        <v>4048</v>
      </c>
    </row>
    <row r="1227">
      <c r="A1227" s="56" t="s">
        <v>4049</v>
      </c>
    </row>
    <row r="1228">
      <c r="A1228" s="56" t="s">
        <v>4050</v>
      </c>
    </row>
    <row r="1229">
      <c r="A1229" s="56" t="s">
        <v>990</v>
      </c>
    </row>
    <row r="1230">
      <c r="A1230" s="56" t="s">
        <v>4051</v>
      </c>
    </row>
    <row r="1231">
      <c r="A1231" s="56" t="s">
        <v>932</v>
      </c>
    </row>
    <row r="1233">
      <c r="A1233" s="56" t="s">
        <v>4052</v>
      </c>
    </row>
    <row r="1234">
      <c r="A1234" s="56" t="s">
        <v>1171</v>
      </c>
    </row>
    <row r="1235">
      <c r="A1235" s="56" t="s">
        <v>4053</v>
      </c>
    </row>
    <row r="1236">
      <c r="A1236" s="56" t="s">
        <v>4054</v>
      </c>
    </row>
    <row r="1237">
      <c r="A1237" s="56" t="s">
        <v>4055</v>
      </c>
    </row>
    <row r="1238">
      <c r="A1238" s="56" t="s">
        <v>1519</v>
      </c>
    </row>
    <row r="1239">
      <c r="A1239" s="56" t="s">
        <v>3914</v>
      </c>
    </row>
    <row r="1240">
      <c r="A1240" s="56" t="s">
        <v>972</v>
      </c>
    </row>
    <row r="1241">
      <c r="A1241" s="56" t="s">
        <v>981</v>
      </c>
    </row>
    <row r="1242">
      <c r="A1242" s="56" t="s">
        <v>1375</v>
      </c>
    </row>
    <row r="1243">
      <c r="A1243" s="56" t="s">
        <v>932</v>
      </c>
    </row>
    <row r="1245">
      <c r="A1245" s="56" t="s">
        <v>4056</v>
      </c>
    </row>
    <row r="1246">
      <c r="A1246" s="56" t="s">
        <v>4057</v>
      </c>
    </row>
    <row r="1247">
      <c r="A1247" s="56" t="s">
        <v>1001</v>
      </c>
    </row>
    <row r="1248">
      <c r="A1248" s="56" t="s">
        <v>1018</v>
      </c>
    </row>
    <row r="1249">
      <c r="A1249" s="56" t="s">
        <v>972</v>
      </c>
    </row>
    <row r="1250">
      <c r="A1250" s="56" t="s">
        <v>1181</v>
      </c>
    </row>
    <row r="1251">
      <c r="A1251" s="56" t="s">
        <v>1020</v>
      </c>
    </row>
    <row r="1252">
      <c r="A1252" s="56" t="s">
        <v>4058</v>
      </c>
    </row>
    <row r="1253">
      <c r="A1253" s="56" t="s">
        <v>1005</v>
      </c>
    </row>
    <row r="1254">
      <c r="A1254" s="56" t="s">
        <v>932</v>
      </c>
    </row>
    <row r="1256">
      <c r="A1256" s="56" t="s">
        <v>4059</v>
      </c>
    </row>
    <row r="1257">
      <c r="A1257" s="56" t="s">
        <v>1596</v>
      </c>
    </row>
    <row r="1258">
      <c r="A1258" s="56" t="s">
        <v>2288</v>
      </c>
    </row>
    <row r="1259">
      <c r="A1259" s="56" t="s">
        <v>1018</v>
      </c>
    </row>
    <row r="1260">
      <c r="A1260" s="56" t="s">
        <v>4043</v>
      </c>
    </row>
    <row r="1261">
      <c r="A1261" s="56" t="s">
        <v>1061</v>
      </c>
    </row>
    <row r="1262">
      <c r="A1262" s="56" t="s">
        <v>1430</v>
      </c>
    </row>
    <row r="1263">
      <c r="A1263" s="56" t="s">
        <v>3932</v>
      </c>
    </row>
    <row r="1264">
      <c r="A1264" s="56" t="s">
        <v>1082</v>
      </c>
    </row>
    <row r="1265">
      <c r="A1265" s="56" t="s">
        <v>932</v>
      </c>
    </row>
    <row r="1267">
      <c r="A1267" s="56" t="s">
        <v>4060</v>
      </c>
    </row>
    <row r="1268">
      <c r="A1268" s="56" t="s">
        <v>1089</v>
      </c>
    </row>
    <row r="1269">
      <c r="A1269" s="56" t="s">
        <v>4061</v>
      </c>
    </row>
    <row r="1270">
      <c r="A1270" s="56" t="s">
        <v>932</v>
      </c>
    </row>
    <row r="1272">
      <c r="A1272" s="56" t="s">
        <v>4062</v>
      </c>
    </row>
    <row r="1273">
      <c r="A1273" s="56" t="s">
        <v>4063</v>
      </c>
    </row>
    <row r="1274">
      <c r="A1274" s="56" t="s">
        <v>932</v>
      </c>
    </row>
    <row r="1276">
      <c r="A1276" s="56" t="s">
        <v>4064</v>
      </c>
    </row>
    <row r="1277">
      <c r="A1277" s="56" t="s">
        <v>4057</v>
      </c>
    </row>
    <row r="1278">
      <c r="A1278" s="56" t="s">
        <v>1614</v>
      </c>
    </row>
    <row r="1279">
      <c r="A1279" s="56" t="s">
        <v>1275</v>
      </c>
    </row>
    <row r="1280">
      <c r="A1280" s="56" t="s">
        <v>4065</v>
      </c>
    </row>
    <row r="1281">
      <c r="A1281" s="56" t="s">
        <v>972</v>
      </c>
    </row>
    <row r="1282">
      <c r="A1282" s="56" t="s">
        <v>1181</v>
      </c>
    </row>
    <row r="1283">
      <c r="A1283" s="56" t="s">
        <v>1020</v>
      </c>
    </row>
    <row r="1284">
      <c r="A1284" s="56" t="s">
        <v>1005</v>
      </c>
    </row>
    <row r="1285">
      <c r="A1285" s="56" t="s">
        <v>932</v>
      </c>
    </row>
    <row r="1287">
      <c r="A1287" s="56" t="s">
        <v>1404</v>
      </c>
    </row>
    <row r="1288">
      <c r="A1288" s="56" t="s">
        <v>2658</v>
      </c>
    </row>
    <row r="1289">
      <c r="A1289" s="56" t="s">
        <v>2660</v>
      </c>
    </row>
    <row r="1290">
      <c r="A1290" s="56" t="s">
        <v>4066</v>
      </c>
    </row>
    <row r="1291">
      <c r="A1291" s="56" t="s">
        <v>4067</v>
      </c>
    </row>
    <row r="1292">
      <c r="A1292" s="56" t="s">
        <v>4068</v>
      </c>
    </row>
    <row r="1293">
      <c r="A1293" s="56" t="s">
        <v>972</v>
      </c>
    </row>
    <row r="1294">
      <c r="A1294" s="56" t="s">
        <v>981</v>
      </c>
    </row>
    <row r="1295">
      <c r="A1295" s="56" t="s">
        <v>1043</v>
      </c>
    </row>
    <row r="1296">
      <c r="A1296" s="56" t="s">
        <v>1932</v>
      </c>
    </row>
    <row r="1297">
      <c r="A1297" s="56" t="s">
        <v>932</v>
      </c>
    </row>
    <row r="1299">
      <c r="A1299" s="56" t="s">
        <v>1406</v>
      </c>
    </row>
    <row r="1300">
      <c r="A1300" s="56" t="s">
        <v>2672</v>
      </c>
    </row>
    <row r="1301">
      <c r="A1301" s="56" t="s">
        <v>4069</v>
      </c>
    </row>
    <row r="1302">
      <c r="A1302" s="56" t="s">
        <v>1060</v>
      </c>
    </row>
    <row r="1303">
      <c r="A1303" s="56" t="s">
        <v>4054</v>
      </c>
    </row>
    <row r="1304">
      <c r="A1304" s="56" t="s">
        <v>948</v>
      </c>
    </row>
    <row r="1305">
      <c r="A1305" s="56" t="s">
        <v>1064</v>
      </c>
    </row>
    <row r="1306">
      <c r="A1306" s="56" t="s">
        <v>1916</v>
      </c>
    </row>
    <row r="1307">
      <c r="A1307" s="56" t="s">
        <v>972</v>
      </c>
    </row>
    <row r="1308">
      <c r="A1308" s="56" t="s">
        <v>1020</v>
      </c>
    </row>
    <row r="1309">
      <c r="A1309" s="56" t="s">
        <v>1074</v>
      </c>
    </row>
    <row r="1310">
      <c r="A1310" s="56" t="s">
        <v>4070</v>
      </c>
    </row>
    <row r="1311">
      <c r="A1311" s="56" t="s">
        <v>2679</v>
      </c>
    </row>
    <row r="1312">
      <c r="A1312" s="56" t="s">
        <v>1171</v>
      </c>
    </row>
    <row r="1313">
      <c r="A1313" s="56" t="s">
        <v>932</v>
      </c>
    </row>
    <row r="1315">
      <c r="A1315" s="56" t="s">
        <v>2680</v>
      </c>
    </row>
    <row r="1316">
      <c r="A1316" s="56" t="s">
        <v>4071</v>
      </c>
    </row>
    <row r="1317">
      <c r="A1317" s="56" t="s">
        <v>951</v>
      </c>
    </row>
    <row r="1318">
      <c r="A1318" s="56" t="s">
        <v>932</v>
      </c>
    </row>
    <row r="1320">
      <c r="A1320" s="56" t="s">
        <v>2685</v>
      </c>
    </row>
    <row r="1321">
      <c r="A1321" s="56" t="s">
        <v>4072</v>
      </c>
    </row>
    <row r="1322">
      <c r="A1322" s="56" t="s">
        <v>951</v>
      </c>
    </row>
    <row r="1323">
      <c r="A1323" s="56" t="s">
        <v>932</v>
      </c>
    </row>
    <row r="1325">
      <c r="A1325" s="56" t="s">
        <v>2693</v>
      </c>
    </row>
    <row r="1326">
      <c r="A1326" s="56" t="s">
        <v>4073</v>
      </c>
    </row>
    <row r="1327">
      <c r="A1327" s="56" t="s">
        <v>951</v>
      </c>
    </row>
    <row r="1328">
      <c r="A1328" s="56" t="s">
        <v>932</v>
      </c>
    </row>
    <row r="1330">
      <c r="A1330" s="56" t="s">
        <v>2702</v>
      </c>
    </row>
    <row r="1331">
      <c r="A1331" s="56" t="s">
        <v>2704</v>
      </c>
    </row>
    <row r="1332">
      <c r="A1332" s="56" t="s">
        <v>4074</v>
      </c>
    </row>
    <row r="1333">
      <c r="A1333" s="56" t="s">
        <v>2708</v>
      </c>
    </row>
    <row r="1334">
      <c r="A1334" s="56" t="s">
        <v>932</v>
      </c>
    </row>
    <row r="1336">
      <c r="A1336" s="56" t="s">
        <v>2712</v>
      </c>
    </row>
    <row r="1337">
      <c r="A1337" s="56" t="s">
        <v>2714</v>
      </c>
    </row>
    <row r="1338">
      <c r="A1338" s="56" t="s">
        <v>1089</v>
      </c>
    </row>
    <row r="1339">
      <c r="A1339" s="56" t="s">
        <v>932</v>
      </c>
    </row>
    <row r="1340">
      <c r="A1340" s="56" t="s">
        <v>932</v>
      </c>
    </row>
    <row r="1341">
      <c r="A1341" s="56" t="s">
        <v>1417</v>
      </c>
    </row>
    <row r="1342">
      <c r="A1342" s="56" t="s">
        <v>1418</v>
      </c>
    </row>
    <row r="1344">
      <c r="A1344" s="56" t="s">
        <v>1420</v>
      </c>
    </row>
    <row r="1345">
      <c r="A1345" s="56" t="s">
        <v>1421</v>
      </c>
    </row>
    <row r="1347">
      <c r="A1347" s="56" t="s">
        <v>1423</v>
      </c>
    </row>
    <row r="1348">
      <c r="A1348" s="56" t="s">
        <v>1424</v>
      </c>
    </row>
    <row r="1349">
      <c r="A1349" s="56" t="s">
        <v>1426</v>
      </c>
    </row>
    <row r="1350">
      <c r="A1350" s="56" t="s">
        <v>1427</v>
      </c>
    </row>
    <row r="1351">
      <c r="A1351" s="56" t="s">
        <v>1429</v>
      </c>
    </row>
    <row r="1352">
      <c r="A1352" s="56" t="s">
        <v>1431</v>
      </c>
    </row>
    <row r="1353">
      <c r="A1353" s="56" t="s">
        <v>1433</v>
      </c>
    </row>
    <row r="1354">
      <c r="A1354" s="56" t="s">
        <v>1434</v>
      </c>
    </row>
    <row r="1355">
      <c r="A1355" s="56" t="s">
        <v>1435</v>
      </c>
    </row>
    <row r="1356">
      <c r="A1356" s="56" t="s">
        <v>2822</v>
      </c>
    </row>
    <row r="1357">
      <c r="A1357" s="56" t="s">
        <v>2824</v>
      </c>
    </row>
    <row r="1358">
      <c r="A1358" s="56" t="s">
        <v>2825</v>
      </c>
    </row>
    <row r="1359">
      <c r="A1359" s="56" t="s">
        <v>2827</v>
      </c>
    </row>
    <row r="1360">
      <c r="A1360" s="56" t="s">
        <v>2829</v>
      </c>
    </row>
    <row r="1361">
      <c r="A1361" s="56" t="s">
        <v>1870</v>
      </c>
    </row>
    <row r="1362">
      <c r="A1362" s="56" t="s">
        <v>1439</v>
      </c>
    </row>
    <row r="1363">
      <c r="A1363" s="56" t="s">
        <v>1431</v>
      </c>
    </row>
    <row r="1364">
      <c r="A1364" s="56" t="s">
        <v>1440</v>
      </c>
    </row>
    <row r="1365">
      <c r="A1365" s="56" t="s">
        <v>2822</v>
      </c>
    </row>
    <row r="1366">
      <c r="A1366" s="56" t="s">
        <v>4075</v>
      </c>
    </row>
    <row r="1367">
      <c r="A1367" s="56" t="s">
        <v>1870</v>
      </c>
    </row>
    <row r="1368">
      <c r="A1368" s="56" t="s">
        <v>1444</v>
      </c>
    </row>
    <row r="1369">
      <c r="A1369" s="56" t="s">
        <v>1431</v>
      </c>
    </row>
    <row r="1370">
      <c r="A1370" s="56" t="s">
        <v>1445</v>
      </c>
    </row>
    <row r="1371">
      <c r="A1371" s="56" t="s">
        <v>1447</v>
      </c>
    </row>
    <row r="1372">
      <c r="A1372" s="56" t="s">
        <v>2822</v>
      </c>
    </row>
    <row r="1373">
      <c r="A1373" s="56" t="s">
        <v>2847</v>
      </c>
    </row>
    <row r="1374">
      <c r="A1374" s="56" t="s">
        <v>2849</v>
      </c>
    </row>
    <row r="1375">
      <c r="A1375" s="56" t="s">
        <v>2850</v>
      </c>
    </row>
    <row r="1376">
      <c r="A1376" s="56" t="s">
        <v>2852</v>
      </c>
    </row>
    <row r="1377">
      <c r="A1377" s="56" t="s">
        <v>1870</v>
      </c>
    </row>
    <row r="1378">
      <c r="A1378" s="56" t="s">
        <v>1450</v>
      </c>
    </row>
    <row r="1379">
      <c r="A1379" s="56" t="s">
        <v>1431</v>
      </c>
    </row>
    <row r="1380">
      <c r="A1380" s="56" t="s">
        <v>1452</v>
      </c>
    </row>
    <row r="1381">
      <c r="A1381" s="56" t="s">
        <v>2822</v>
      </c>
    </row>
    <row r="1382">
      <c r="A1382" s="56" t="s">
        <v>4076</v>
      </c>
    </row>
    <row r="1383">
      <c r="A1383" s="56" t="s">
        <v>4077</v>
      </c>
    </row>
    <row r="1384">
      <c r="A1384" s="56" t="s">
        <v>1870</v>
      </c>
    </row>
    <row r="1385">
      <c r="A1385" s="56" t="s">
        <v>1454</v>
      </c>
    </row>
    <row r="1386">
      <c r="A1386" s="56" t="s">
        <v>1431</v>
      </c>
    </row>
    <row r="1387">
      <c r="A1387" s="56" t="s">
        <v>1455</v>
      </c>
    </row>
    <row r="1388">
      <c r="A1388" s="56" t="s">
        <v>2822</v>
      </c>
    </row>
    <row r="1389">
      <c r="A1389" s="56" t="s">
        <v>2866</v>
      </c>
    </row>
    <row r="1390">
      <c r="A1390" s="56" t="s">
        <v>1870</v>
      </c>
    </row>
    <row r="1391">
      <c r="A1391" s="56" t="s">
        <v>1459</v>
      </c>
    </row>
    <row r="1392">
      <c r="A1392" s="56" t="s">
        <v>1431</v>
      </c>
    </row>
    <row r="1393">
      <c r="A1393" s="56" t="s">
        <v>1461</v>
      </c>
    </row>
    <row r="1394">
      <c r="A1394" s="56" t="s">
        <v>1462</v>
      </c>
    </row>
    <row r="1395">
      <c r="A1395" s="56" t="s">
        <v>2822</v>
      </c>
    </row>
    <row r="1396">
      <c r="A1396" s="56" t="s">
        <v>4078</v>
      </c>
    </row>
    <row r="1397">
      <c r="A1397" s="56" t="s">
        <v>4079</v>
      </c>
    </row>
    <row r="1398">
      <c r="A1398" s="56" t="s">
        <v>1870</v>
      </c>
    </row>
    <row r="1399">
      <c r="A1399" s="56" t="s">
        <v>1465</v>
      </c>
    </row>
    <row r="1400">
      <c r="A1400" s="56" t="s">
        <v>1431</v>
      </c>
    </row>
    <row r="1401">
      <c r="A1401" s="56" t="s">
        <v>1467</v>
      </c>
    </row>
    <row r="1402">
      <c r="A1402" s="56" t="s">
        <v>2822</v>
      </c>
    </row>
    <row r="1403">
      <c r="A1403" s="56" t="s">
        <v>4080</v>
      </c>
    </row>
    <row r="1404">
      <c r="A1404" s="56" t="s">
        <v>4081</v>
      </c>
    </row>
    <row r="1405">
      <c r="A1405" s="56" t="s">
        <v>4082</v>
      </c>
    </row>
    <row r="1406">
      <c r="A1406" s="56" t="s">
        <v>4083</v>
      </c>
    </row>
    <row r="1407">
      <c r="A1407" s="56" t="s">
        <v>1870</v>
      </c>
    </row>
    <row r="1408">
      <c r="A1408" s="56" t="s">
        <v>1470</v>
      </c>
    </row>
    <row r="1409">
      <c r="A1409" s="56" t="s">
        <v>1431</v>
      </c>
    </row>
    <row r="1410">
      <c r="A1410" s="56" t="s">
        <v>1471</v>
      </c>
    </row>
    <row r="1411">
      <c r="A1411" s="56" t="s">
        <v>1472</v>
      </c>
    </row>
    <row r="1412">
      <c r="A1412" s="56" t="s">
        <v>2822</v>
      </c>
    </row>
    <row r="1413">
      <c r="A1413" s="56" t="s">
        <v>2897</v>
      </c>
    </row>
    <row r="1414">
      <c r="A1414" s="56" t="s">
        <v>2899</v>
      </c>
    </row>
    <row r="1415">
      <c r="A1415" s="56" t="s">
        <v>1870</v>
      </c>
    </row>
    <row r="1416">
      <c r="A1416" s="56" t="s">
        <v>1476</v>
      </c>
    </row>
    <row r="1417">
      <c r="A1417" s="56" t="s">
        <v>1431</v>
      </c>
    </row>
    <row r="1418">
      <c r="A1418" s="56" t="s">
        <v>1431</v>
      </c>
    </row>
    <row r="1419">
      <c r="A1419" s="56" t="s">
        <v>1477</v>
      </c>
    </row>
    <row r="1420">
      <c r="A1420" s="56" t="s">
        <v>1478</v>
      </c>
    </row>
    <row r="1421">
      <c r="A1421" s="56" t="s">
        <v>1479</v>
      </c>
    </row>
    <row r="1422">
      <c r="A1422" s="56" t="s">
        <v>1480</v>
      </c>
    </row>
    <row r="1423">
      <c r="A1423" s="56" t="s">
        <v>1482</v>
      </c>
    </row>
    <row r="1424">
      <c r="A1424" s="56" t="s">
        <v>1483</v>
      </c>
    </row>
    <row r="1425">
      <c r="A1425" s="56" t="s">
        <v>1431</v>
      </c>
    </row>
    <row r="1426">
      <c r="A1426" s="56" t="s">
        <v>1431</v>
      </c>
    </row>
    <row r="1427">
      <c r="A1427" s="56" t="s">
        <v>1431</v>
      </c>
    </row>
    <row r="1428">
      <c r="A1428" s="56" t="s">
        <v>1486</v>
      </c>
    </row>
    <row r="1430">
      <c r="A1430" s="56" t="s">
        <v>1488</v>
      </c>
    </row>
    <row r="1431">
      <c r="A1431" s="56" t="s">
        <v>1489</v>
      </c>
    </row>
    <row r="1433">
      <c r="A1433" s="56" t="s">
        <v>1491</v>
      </c>
    </row>
    <row r="1434">
      <c r="A1434" s="56" t="s">
        <v>1492</v>
      </c>
    </row>
    <row r="1435">
      <c r="A1435" s="56" t="s">
        <v>1493</v>
      </c>
    </row>
    <row r="1436">
      <c r="A1436" s="56" t="s">
        <v>1495</v>
      </c>
    </row>
    <row r="1437">
      <c r="A1437" s="56" t="s">
        <v>1496</v>
      </c>
    </row>
    <row r="1438">
      <c r="A1438" s="56" t="s">
        <v>1431</v>
      </c>
    </row>
    <row r="1439">
      <c r="A1439" s="56" t="s">
        <v>1431</v>
      </c>
    </row>
    <row r="1441">
      <c r="A1441" s="56" t="s">
        <v>1498</v>
      </c>
    </row>
    <row r="1442">
      <c r="A1442" s="56" t="s">
        <v>1499</v>
      </c>
    </row>
    <row r="1444">
      <c r="A1444" s="56" t="s">
        <v>1501</v>
      </c>
    </row>
    <row r="1445">
      <c r="A1445" s="56" t="s">
        <v>1502</v>
      </c>
    </row>
    <row r="1446">
      <c r="A1446" s="56" t="s">
        <v>2932</v>
      </c>
    </row>
    <row r="1447">
      <c r="A1447" s="56" t="s">
        <v>4084</v>
      </c>
    </row>
    <row r="1448">
      <c r="A1448" s="56" t="s">
        <v>1431</v>
      </c>
    </row>
    <row r="1449">
      <c r="A1449" s="56" t="s">
        <v>1504</v>
      </c>
    </row>
    <row r="1450">
      <c r="A1450" s="56" t="s">
        <v>1506</v>
      </c>
    </row>
    <row r="1451">
      <c r="A1451" s="56" t="s">
        <v>1531</v>
      </c>
    </row>
    <row r="1452">
      <c r="A1452" s="56" t="s">
        <v>2938</v>
      </c>
    </row>
    <row r="1453">
      <c r="A1453" s="56" t="s">
        <v>4085</v>
      </c>
    </row>
    <row r="1454">
      <c r="A1454" s="56" t="s">
        <v>1431</v>
      </c>
    </row>
    <row r="1455">
      <c r="A1455" s="56" t="s">
        <v>2944</v>
      </c>
    </row>
    <row r="1456">
      <c r="A1456" s="56" t="s">
        <v>4086</v>
      </c>
    </row>
    <row r="1457">
      <c r="A1457" s="56" t="s">
        <v>1431</v>
      </c>
    </row>
    <row r="1458">
      <c r="A1458" s="56" t="s">
        <v>1431</v>
      </c>
    </row>
    <row r="1459">
      <c r="A1459" s="56" t="s">
        <v>1506</v>
      </c>
    </row>
    <row r="1460">
      <c r="A1460" s="56" t="s">
        <v>1531</v>
      </c>
    </row>
    <row r="1461">
      <c r="A1461" s="56" t="s">
        <v>2950</v>
      </c>
    </row>
    <row r="1462">
      <c r="A1462" s="56" t="s">
        <v>1431</v>
      </c>
    </row>
    <row r="1463">
      <c r="A1463" s="56" t="s">
        <v>2951</v>
      </c>
    </row>
    <row r="1464">
      <c r="A1464" s="56" t="s">
        <v>4086</v>
      </c>
    </row>
    <row r="1465">
      <c r="A1465" s="56" t="s">
        <v>1431</v>
      </c>
    </row>
    <row r="1466">
      <c r="A1466" s="56" t="s">
        <v>1431</v>
      </c>
    </row>
    <row r="1467">
      <c r="A1467" s="56" t="s">
        <v>1431</v>
      </c>
    </row>
    <row r="1468">
      <c r="A1468" s="56" t="s">
        <v>1504</v>
      </c>
    </row>
    <row r="1469">
      <c r="A1469" s="56" t="s">
        <v>1506</v>
      </c>
    </row>
    <row r="1470">
      <c r="A1470" s="56" t="s">
        <v>1531</v>
      </c>
    </row>
    <row r="1471">
      <c r="A1471" s="56" t="s">
        <v>4087</v>
      </c>
    </row>
    <row r="1472">
      <c r="A1472" s="56" t="s">
        <v>1431</v>
      </c>
    </row>
    <row r="1473">
      <c r="A1473" s="56" t="s">
        <v>2963</v>
      </c>
    </row>
    <row r="1474">
      <c r="A1474" s="56" t="s">
        <v>4086</v>
      </c>
    </row>
    <row r="1475">
      <c r="A1475" s="56" t="s">
        <v>1431</v>
      </c>
    </row>
    <row r="1476">
      <c r="A1476" s="56" t="s">
        <v>1431</v>
      </c>
    </row>
    <row r="1477">
      <c r="A1477" s="56" t="s">
        <v>1506</v>
      </c>
    </row>
    <row r="1478">
      <c r="A1478" s="56" t="s">
        <v>1531</v>
      </c>
    </row>
    <row r="1479">
      <c r="A1479" s="56" t="s">
        <v>2969</v>
      </c>
    </row>
    <row r="1480">
      <c r="A1480" s="56" t="s">
        <v>1431</v>
      </c>
    </row>
    <row r="1481">
      <c r="A1481" s="56" t="s">
        <v>2972</v>
      </c>
    </row>
    <row r="1482">
      <c r="A1482" s="56" t="s">
        <v>4086</v>
      </c>
    </row>
    <row r="1483">
      <c r="A1483" s="56" t="s">
        <v>1431</v>
      </c>
    </row>
    <row r="1484">
      <c r="A1484" s="56" t="s">
        <v>1431</v>
      </c>
    </row>
    <row r="1485">
      <c r="A1485" s="56" t="s">
        <v>1431</v>
      </c>
    </row>
    <row r="1486">
      <c r="A1486" s="56" t="s">
        <v>1431</v>
      </c>
    </row>
    <row r="1488">
      <c r="A1488" s="56" t="s">
        <v>1527</v>
      </c>
    </row>
    <row r="1489">
      <c r="A1489" s="56" t="s">
        <v>1529</v>
      </c>
    </row>
    <row r="1490">
      <c r="A1490" s="56" t="s">
        <v>1530</v>
      </c>
    </row>
    <row r="1491">
      <c r="A1491" s="56" t="s">
        <v>1531</v>
      </c>
    </row>
    <row r="1492">
      <c r="A1492" s="56" t="s">
        <v>1533</v>
      </c>
    </row>
    <row r="1493">
      <c r="A1493" s="56" t="s">
        <v>1431</v>
      </c>
    </row>
    <row r="1494">
      <c r="A1494" s="56" t="s">
        <v>1535</v>
      </c>
    </row>
    <row r="1495">
      <c r="A1495" s="56" t="s">
        <v>1536</v>
      </c>
    </row>
    <row r="1496">
      <c r="A1496" s="56" t="s">
        <v>1537</v>
      </c>
    </row>
    <row r="1497">
      <c r="A1497" s="56" t="s">
        <v>1671</v>
      </c>
    </row>
    <row r="1498">
      <c r="A1498" s="56" t="s">
        <v>2988</v>
      </c>
    </row>
    <row r="1499">
      <c r="A1499" s="56" t="s">
        <v>1539</v>
      </c>
    </row>
    <row r="1500">
      <c r="A1500" s="56" t="s">
        <v>1541</v>
      </c>
    </row>
    <row r="1501">
      <c r="A1501" s="56" t="s">
        <v>1431</v>
      </c>
    </row>
    <row r="1502">
      <c r="A1502" s="56" t="s">
        <v>1543</v>
      </c>
    </row>
    <row r="1503">
      <c r="A1503" s="56" t="s">
        <v>1544</v>
      </c>
    </row>
    <row r="1504">
      <c r="A1504" s="56" t="s">
        <v>1537</v>
      </c>
    </row>
    <row r="1505">
      <c r="A1505" s="56" t="s">
        <v>2994</v>
      </c>
    </row>
    <row r="1506">
      <c r="A1506" s="56" t="s">
        <v>1431</v>
      </c>
    </row>
    <row r="1507">
      <c r="A1507" s="56" t="s">
        <v>2997</v>
      </c>
    </row>
    <row r="1508">
      <c r="A1508" s="56" t="s">
        <v>1431</v>
      </c>
    </row>
    <row r="1509">
      <c r="A1509" s="56" t="s">
        <v>1431</v>
      </c>
    </row>
    <row r="1510">
      <c r="A1510" s="56" t="s">
        <v>1543</v>
      </c>
    </row>
    <row r="1511">
      <c r="A1511" s="56" t="s">
        <v>1551</v>
      </c>
    </row>
    <row r="1512">
      <c r="A1512" s="56" t="s">
        <v>1552</v>
      </c>
    </row>
    <row r="1513">
      <c r="A1513" s="56" t="s">
        <v>1554</v>
      </c>
    </row>
    <row r="1514">
      <c r="A1514" s="56" t="s">
        <v>1431</v>
      </c>
    </row>
    <row r="1515">
      <c r="A1515" s="56" t="s">
        <v>1555</v>
      </c>
    </row>
    <row r="1516">
      <c r="A1516" s="56" t="s">
        <v>1556</v>
      </c>
    </row>
    <row r="1517">
      <c r="A1517" s="56" t="s">
        <v>1543</v>
      </c>
    </row>
    <row r="1518">
      <c r="A1518" s="56" t="s">
        <v>1557</v>
      </c>
    </row>
    <row r="1519">
      <c r="A1519" s="56" t="s">
        <v>1558</v>
      </c>
    </row>
    <row r="1520">
      <c r="A1520" s="56" t="s">
        <v>1431</v>
      </c>
    </row>
    <row r="1521">
      <c r="A1521" s="56" t="s">
        <v>1560</v>
      </c>
    </row>
    <row r="1522">
      <c r="A1522" s="56" t="s">
        <v>1561</v>
      </c>
    </row>
    <row r="1523">
      <c r="A1523" s="56" t="s">
        <v>1563</v>
      </c>
    </row>
    <row r="1524">
      <c r="A1524" s="56" t="s">
        <v>1565</v>
      </c>
    </row>
    <row r="1525">
      <c r="A1525" s="56" t="s">
        <v>1566</v>
      </c>
    </row>
    <row r="1526">
      <c r="A1526" s="56" t="s">
        <v>1431</v>
      </c>
    </row>
    <row r="1527">
      <c r="A1527" s="56" t="s">
        <v>1431</v>
      </c>
    </row>
    <row r="1528">
      <c r="A1528" s="56" t="s">
        <v>1431</v>
      </c>
    </row>
    <row r="1529">
      <c r="A1529" s="56" t="s">
        <v>1431</v>
      </c>
    </row>
    <row r="1530">
      <c r="A1530" s="56" t="s">
        <v>1431</v>
      </c>
    </row>
    <row r="1532">
      <c r="A1532" s="56" t="s">
        <v>1567</v>
      </c>
    </row>
    <row r="1533">
      <c r="A1533" s="56" t="s">
        <v>1568</v>
      </c>
    </row>
    <row r="1534">
      <c r="A1534" s="56" t="s">
        <v>1506</v>
      </c>
    </row>
    <row r="1535">
      <c r="A1535" s="56" t="s">
        <v>1531</v>
      </c>
    </row>
    <row r="1536">
      <c r="A1536" s="56" t="s">
        <v>1570</v>
      </c>
    </row>
    <row r="1537">
      <c r="A1537" s="56" t="s">
        <v>1572</v>
      </c>
    </row>
    <row r="1538">
      <c r="A1538" s="56" t="s">
        <v>1574</v>
      </c>
    </row>
    <row r="1539">
      <c r="A1539" s="56" t="s">
        <v>4088</v>
      </c>
    </row>
    <row r="1540">
      <c r="A1540" s="56" t="s">
        <v>1575</v>
      </c>
    </row>
    <row r="1541">
      <c r="A1541" s="56" t="s">
        <v>1431</v>
      </c>
    </row>
    <row r="1542">
      <c r="A1542" s="56" t="s">
        <v>1431</v>
      </c>
    </row>
    <row r="1543">
      <c r="A1543" s="56" t="s">
        <v>1576</v>
      </c>
    </row>
    <row r="1544">
      <c r="A1544" s="56" t="s">
        <v>1577</v>
      </c>
    </row>
    <row r="1545">
      <c r="A1545" s="56" t="s">
        <v>2822</v>
      </c>
    </row>
    <row r="1546">
      <c r="A1546" s="56" t="s">
        <v>3100</v>
      </c>
    </row>
    <row r="1547">
      <c r="A1547" s="56" t="s">
        <v>3102</v>
      </c>
    </row>
    <row r="1548">
      <c r="A1548" s="56" t="s">
        <v>1870</v>
      </c>
    </row>
    <row r="1549">
      <c r="A1549" s="56" t="s">
        <v>1580</v>
      </c>
    </row>
    <row r="1550">
      <c r="A1550" s="56" t="s">
        <v>1431</v>
      </c>
    </row>
    <row r="1551">
      <c r="A1551" s="56" t="s">
        <v>1583</v>
      </c>
    </row>
    <row r="1552">
      <c r="A1552" s="56" t="s">
        <v>1585</v>
      </c>
    </row>
    <row r="1553">
      <c r="A1553" s="56" t="s">
        <v>1586</v>
      </c>
    </row>
    <row r="1554">
      <c r="A1554" s="56" t="s">
        <v>4089</v>
      </c>
    </row>
    <row r="1555">
      <c r="A1555" s="56" t="s">
        <v>4090</v>
      </c>
    </row>
    <row r="1556">
      <c r="A1556" s="56" t="s">
        <v>1589</v>
      </c>
    </row>
    <row r="1557">
      <c r="A1557" s="56" t="s">
        <v>1590</v>
      </c>
    </row>
    <row r="1558">
      <c r="A1558" s="56" t="s">
        <v>1591</v>
      </c>
    </row>
    <row r="1559">
      <c r="A1559" s="56" t="s">
        <v>1431</v>
      </c>
    </row>
    <row r="1560">
      <c r="A1560" s="56" t="s">
        <v>1431</v>
      </c>
    </row>
    <row r="1561">
      <c r="A1561" s="56" t="s">
        <v>1431</v>
      </c>
    </row>
    <row r="1562">
      <c r="A1562" s="56" t="s">
        <v>4091</v>
      </c>
    </row>
    <row r="1563">
      <c r="A1563" s="56" t="s">
        <v>4086</v>
      </c>
    </row>
    <row r="1564">
      <c r="A1564" s="56" t="s">
        <v>1431</v>
      </c>
    </row>
    <row r="1565">
      <c r="A1565" s="56" t="s">
        <v>1594</v>
      </c>
    </row>
    <row r="1566">
      <c r="A1566" s="56" t="s">
        <v>1431</v>
      </c>
    </row>
    <row r="1567">
      <c r="A1567" s="56" t="s">
        <v>1431</v>
      </c>
    </row>
    <row r="1569">
      <c r="A1569" s="56" t="s">
        <v>1606</v>
      </c>
    </row>
    <row r="1570">
      <c r="A1570" s="56" t="s">
        <v>1607</v>
      </c>
    </row>
    <row r="1571">
      <c r="A1571" s="56" t="s">
        <v>1506</v>
      </c>
    </row>
    <row r="1572">
      <c r="A1572" s="56" t="s">
        <v>1531</v>
      </c>
    </row>
    <row r="1573">
      <c r="A1573" s="56" t="s">
        <v>1608</v>
      </c>
    </row>
    <row r="1574">
      <c r="A1574" s="56" t="s">
        <v>1609</v>
      </c>
    </row>
    <row r="1575">
      <c r="A1575" s="56" t="s">
        <v>1611</v>
      </c>
    </row>
    <row r="1576">
      <c r="A1576" s="56" t="s">
        <v>1613</v>
      </c>
    </row>
    <row r="1577">
      <c r="A1577" s="56" t="s">
        <v>1615</v>
      </c>
    </row>
    <row r="1578">
      <c r="A1578" s="56" t="s">
        <v>1431</v>
      </c>
    </row>
    <row r="1579">
      <c r="A1579" s="56" t="s">
        <v>1576</v>
      </c>
    </row>
    <row r="1580">
      <c r="A1580" s="56" t="s">
        <v>1577</v>
      </c>
    </row>
    <row r="1581">
      <c r="A1581" s="56" t="s">
        <v>2822</v>
      </c>
    </row>
    <row r="1582">
      <c r="A1582" s="56" t="s">
        <v>3100</v>
      </c>
    </row>
    <row r="1583">
      <c r="A1583" s="56" t="s">
        <v>3102</v>
      </c>
    </row>
    <row r="1584">
      <c r="A1584" s="56" t="s">
        <v>1870</v>
      </c>
    </row>
    <row r="1585">
      <c r="A1585" s="56" t="s">
        <v>1618</v>
      </c>
    </row>
    <row r="1586">
      <c r="A1586" s="56" t="s">
        <v>1431</v>
      </c>
    </row>
    <row r="1587">
      <c r="A1587" s="56" t="s">
        <v>1619</v>
      </c>
    </row>
    <row r="1588">
      <c r="A1588" s="56" t="s">
        <v>1620</v>
      </c>
    </row>
    <row r="1589">
      <c r="A1589" s="56" t="s">
        <v>1621</v>
      </c>
    </row>
    <row r="1590">
      <c r="A1590" s="56" t="s">
        <v>1623</v>
      </c>
    </row>
    <row r="1591">
      <c r="A1591" s="56" t="s">
        <v>1624</v>
      </c>
    </row>
    <row r="1592">
      <c r="A1592" s="56" t="s">
        <v>1625</v>
      </c>
    </row>
    <row r="1593">
      <c r="A1593" s="56" t="s">
        <v>1626</v>
      </c>
    </row>
    <row r="1594">
      <c r="A1594" s="56" t="s">
        <v>1627</v>
      </c>
    </row>
    <row r="1595">
      <c r="A1595" s="56" t="s">
        <v>1628</v>
      </c>
    </row>
    <row r="1596">
      <c r="A1596" s="56" t="s">
        <v>1431</v>
      </c>
    </row>
    <row r="1597">
      <c r="A1597" s="56" t="s">
        <v>1631</v>
      </c>
    </row>
    <row r="1598">
      <c r="A1598" s="56" t="s">
        <v>1431</v>
      </c>
    </row>
    <row r="1599">
      <c r="A1599" s="56" t="s">
        <v>1431</v>
      </c>
    </row>
    <row r="1600">
      <c r="A1600" s="56" t="s">
        <v>3136</v>
      </c>
    </row>
    <row r="1601">
      <c r="A1601" s="56" t="s">
        <v>4086</v>
      </c>
    </row>
    <row r="1602">
      <c r="A1602" s="56" t="s">
        <v>1431</v>
      </c>
    </row>
    <row r="1603">
      <c r="A1603" s="56" t="s">
        <v>1634</v>
      </c>
    </row>
    <row r="1604">
      <c r="A1604" s="56" t="s">
        <v>1431</v>
      </c>
    </row>
    <row r="1605">
      <c r="A1605" s="56" t="s">
        <v>1431</v>
      </c>
    </row>
    <row r="1607">
      <c r="A1607" s="56" t="s">
        <v>1636</v>
      </c>
    </row>
    <row r="1608">
      <c r="A1608" s="56" t="s">
        <v>1637</v>
      </c>
    </row>
    <row r="1609">
      <c r="A1609" s="56" t="s">
        <v>1639</v>
      </c>
    </row>
    <row r="1610">
      <c r="A1610" s="56" t="s">
        <v>1531</v>
      </c>
    </row>
    <row r="1611">
      <c r="A1611" s="56" t="s">
        <v>1642</v>
      </c>
    </row>
    <row r="1612">
      <c r="A1612" s="56" t="s">
        <v>1431</v>
      </c>
    </row>
    <row r="1613">
      <c r="A1613" s="56" t="s">
        <v>1535</v>
      </c>
    </row>
    <row r="1614">
      <c r="A1614" s="56" t="s">
        <v>1643</v>
      </c>
    </row>
    <row r="1615">
      <c r="A1615" s="56" t="s">
        <v>1644</v>
      </c>
    </row>
    <row r="1616">
      <c r="A1616" s="56" t="s">
        <v>1645</v>
      </c>
    </row>
    <row r="1617">
      <c r="A1617" s="56" t="s">
        <v>1646</v>
      </c>
    </row>
    <row r="1618">
      <c r="A1618" s="56" t="s">
        <v>1431</v>
      </c>
    </row>
    <row r="1619">
      <c r="A1619" s="56" t="s">
        <v>1647</v>
      </c>
    </row>
    <row r="1620">
      <c r="A1620" s="56" t="s">
        <v>1431</v>
      </c>
    </row>
    <row r="1622">
      <c r="A1622" s="56" t="s">
        <v>1649</v>
      </c>
    </row>
    <row r="1623">
      <c r="A1623" s="56" t="s">
        <v>1543</v>
      </c>
    </row>
    <row r="1624">
      <c r="A1624" s="56" t="s">
        <v>1650</v>
      </c>
    </row>
    <row r="1626">
      <c r="A1626" s="56" t="s">
        <v>1651</v>
      </c>
    </row>
    <row r="1627">
      <c r="A1627" s="56" t="s">
        <v>1653</v>
      </c>
    </row>
    <row r="1628">
      <c r="A1628" s="56" t="s">
        <v>1654</v>
      </c>
    </row>
    <row r="1629">
      <c r="A1629" s="56" t="s">
        <v>1655</v>
      </c>
    </row>
    <row r="1630">
      <c r="A1630" s="56" t="s">
        <v>1431</v>
      </c>
    </row>
    <row r="1631">
      <c r="A1631" s="56" t="s">
        <v>1657</v>
      </c>
    </row>
    <row r="1632">
      <c r="A1632" s="56" t="s">
        <v>1431</v>
      </c>
    </row>
    <row r="1634">
      <c r="A1634" s="56" t="s">
        <v>1660</v>
      </c>
    </row>
    <row r="1635">
      <c r="A1635" s="56" t="s">
        <v>1661</v>
      </c>
    </row>
    <row r="1636">
      <c r="A1636" s="56" t="s">
        <v>1663</v>
      </c>
    </row>
    <row r="1637">
      <c r="A1637" s="56" t="s">
        <v>2266</v>
      </c>
    </row>
    <row r="1638">
      <c r="A1638" s="56" t="s">
        <v>4092</v>
      </c>
    </row>
    <row r="1639">
      <c r="A1639" s="56" t="s">
        <v>4093</v>
      </c>
    </row>
    <row r="1640">
      <c r="A1640" s="56" t="s">
        <v>4094</v>
      </c>
    </row>
    <row r="1641">
      <c r="A1641" s="56" t="s">
        <v>4095</v>
      </c>
    </row>
    <row r="1642">
      <c r="A1642" s="56" t="s">
        <v>2271</v>
      </c>
    </row>
    <row r="1643">
      <c r="A1643" s="56" t="s">
        <v>1666</v>
      </c>
    </row>
    <row r="1644">
      <c r="A1644" s="56" t="s">
        <v>1667</v>
      </c>
    </row>
    <row r="1645">
      <c r="A1645" s="56" t="s">
        <v>1668</v>
      </c>
    </row>
    <row r="1646">
      <c r="A1646" s="56" t="s">
        <v>1431</v>
      </c>
    </row>
    <row r="1648">
      <c r="A1648" s="56" t="s">
        <v>1543</v>
      </c>
    </row>
    <row r="1649">
      <c r="A1649" s="56" t="s">
        <v>1671</v>
      </c>
    </row>
    <row r="1650">
      <c r="A1650" s="56" t="s">
        <v>1672</v>
      </c>
    </row>
    <row r="1651">
      <c r="A1651" s="56" t="s">
        <v>1673</v>
      </c>
    </row>
    <row r="1652">
      <c r="A1652" s="56" t="s">
        <v>1431</v>
      </c>
    </row>
    <row r="1654">
      <c r="A1654" s="56" t="s">
        <v>1560</v>
      </c>
    </row>
    <row r="1655">
      <c r="A1655" s="56" t="s">
        <v>1675</v>
      </c>
    </row>
    <row r="1656">
      <c r="A1656" s="56" t="s">
        <v>1563</v>
      </c>
    </row>
    <row r="1657">
      <c r="A1657" s="56" t="s">
        <v>1678</v>
      </c>
    </row>
    <row r="1658">
      <c r="A1658" s="56" t="s">
        <v>1679</v>
      </c>
    </row>
    <row r="1659">
      <c r="A1659" s="56" t="s">
        <v>1431</v>
      </c>
    </row>
    <row r="1660">
      <c r="A1660" s="56" t="s">
        <v>1431</v>
      </c>
    </row>
    <row r="1661">
      <c r="A1661" s="56" t="s">
        <v>1431</v>
      </c>
    </row>
    <row r="1663">
      <c r="A1663" s="56" t="s">
        <v>1683</v>
      </c>
    </row>
    <row r="1664">
      <c r="A1664" s="56" t="s">
        <v>1685</v>
      </c>
    </row>
    <row r="1665">
      <c r="A1665" s="56" t="s">
        <v>1431</v>
      </c>
    </row>
    <row r="1666">
      <c r="A1666" s="56" t="s">
        <v>1431</v>
      </c>
    </row>
    <row r="1667">
      <c r="A1667" s="56" t="s">
        <v>1431</v>
      </c>
    </row>
    <row r="1669">
      <c r="A1669" s="56" t="s">
        <v>1687</v>
      </c>
    </row>
    <row r="1670">
      <c r="A1670" s="56" t="s">
        <v>1530</v>
      </c>
    </row>
    <row r="1671">
      <c r="A1671" s="56" t="s">
        <v>1531</v>
      </c>
    </row>
    <row r="1672">
      <c r="A1672" s="56" t="s">
        <v>4096</v>
      </c>
    </row>
    <row r="1673">
      <c r="A1673" s="56" t="s">
        <v>1431</v>
      </c>
    </row>
    <row r="1674">
      <c r="A1674" s="56" t="s">
        <v>1535</v>
      </c>
    </row>
    <row r="1675">
      <c r="A1675" s="56" t="s">
        <v>1690</v>
      </c>
    </row>
    <row r="1676">
      <c r="A1676" s="56" t="s">
        <v>1692</v>
      </c>
    </row>
    <row r="1677">
      <c r="A1677" s="56" t="s">
        <v>4097</v>
      </c>
    </row>
    <row r="1678">
      <c r="A1678" s="56" t="s">
        <v>1431</v>
      </c>
    </row>
    <row r="1679">
      <c r="A1679" s="56" t="s">
        <v>4098</v>
      </c>
    </row>
    <row r="1680">
      <c r="A1680" s="56" t="s">
        <v>1431</v>
      </c>
    </row>
    <row r="1681">
      <c r="A1681" s="56" t="s">
        <v>4099</v>
      </c>
    </row>
    <row r="1682">
      <c r="A1682" s="56" t="s">
        <v>1431</v>
      </c>
    </row>
    <row r="1683">
      <c r="A1683" s="56" t="s">
        <v>1431</v>
      </c>
    </row>
    <row r="1684">
      <c r="A1684" s="56" t="s">
        <v>1697</v>
      </c>
    </row>
    <row r="1685">
      <c r="A1685" s="56" t="s">
        <v>1699</v>
      </c>
    </row>
    <row r="1687">
      <c r="A1687" s="56" t="s">
        <v>1543</v>
      </c>
    </row>
    <row r="1688">
      <c r="A1688" s="56" t="s">
        <v>1700</v>
      </c>
    </row>
    <row r="1689">
      <c r="A1689" s="56" t="s">
        <v>3231</v>
      </c>
    </row>
    <row r="1690">
      <c r="A1690" s="56" t="s">
        <v>4100</v>
      </c>
    </row>
    <row r="1691">
      <c r="A1691" s="56" t="s">
        <v>1431</v>
      </c>
    </row>
    <row r="1692">
      <c r="A1692" s="56" t="s">
        <v>3236</v>
      </c>
    </row>
    <row r="1693">
      <c r="A1693" s="56" t="s">
        <v>4101</v>
      </c>
    </row>
    <row r="1694">
      <c r="A1694" s="56" t="s">
        <v>1431</v>
      </c>
    </row>
    <row r="1696">
      <c r="A1696" s="56" t="s">
        <v>1543</v>
      </c>
    </row>
    <row r="1697">
      <c r="A1697" s="56" t="s">
        <v>1560</v>
      </c>
    </row>
    <row r="1698">
      <c r="A1698" s="56" t="s">
        <v>1704</v>
      </c>
    </row>
    <row r="1699">
      <c r="A1699" s="56" t="s">
        <v>1563</v>
      </c>
    </row>
    <row r="1700">
      <c r="A1700" s="56" t="s">
        <v>1705</v>
      </c>
    </row>
    <row r="1701">
      <c r="A1701" s="56" t="s">
        <v>1707</v>
      </c>
    </row>
    <row r="1702">
      <c r="A1702" s="56" t="s">
        <v>1431</v>
      </c>
    </row>
    <row r="1703">
      <c r="A1703" s="56" t="s">
        <v>1431</v>
      </c>
    </row>
    <row r="1704">
      <c r="A1704" s="56" t="s">
        <v>1431</v>
      </c>
    </row>
    <row r="1705">
      <c r="A1705" s="56" t="s">
        <v>1431</v>
      </c>
    </row>
    <row r="1706">
      <c r="A1706" s="56" t="s">
        <v>1431</v>
      </c>
    </row>
    <row r="1708">
      <c r="A1708" s="56" t="s">
        <v>1710</v>
      </c>
    </row>
    <row r="1709">
      <c r="A1709" s="56" t="s">
        <v>1712</v>
      </c>
    </row>
    <row r="1710">
      <c r="A1710" s="56" t="s">
        <v>1506</v>
      </c>
    </row>
    <row r="1711">
      <c r="A1711" s="56" t="s">
        <v>1531</v>
      </c>
    </row>
    <row r="1712">
      <c r="A1712" s="56" t="s">
        <v>1714</v>
      </c>
    </row>
    <row r="1713">
      <c r="A1713" s="56" t="s">
        <v>1716</v>
      </c>
    </row>
    <row r="1714">
      <c r="A1714" s="56" t="s">
        <v>1431</v>
      </c>
    </row>
    <row r="1715">
      <c r="A1715" s="56" t="s">
        <v>3259</v>
      </c>
    </row>
    <row r="1716">
      <c r="A1716" s="56" t="s">
        <v>4086</v>
      </c>
    </row>
    <row r="1717">
      <c r="A1717" s="56" t="s">
        <v>1431</v>
      </c>
    </row>
    <row r="1718">
      <c r="A1718" s="56" t="s">
        <v>1431</v>
      </c>
    </row>
    <row r="1719">
      <c r="A1719" s="56" t="s">
        <v>1431</v>
      </c>
    </row>
    <row r="1721">
      <c r="A1721" s="56" t="s">
        <v>1721</v>
      </c>
    </row>
    <row r="1722">
      <c r="A1722" s="56" t="s">
        <v>1723</v>
      </c>
    </row>
    <row r="1723">
      <c r="A1723" s="56" t="s">
        <v>3268</v>
      </c>
    </row>
    <row r="1724">
      <c r="A1724" s="56" t="s">
        <v>4086</v>
      </c>
    </row>
    <row r="1725">
      <c r="A1725" s="56" t="s">
        <v>1431</v>
      </c>
    </row>
    <row r="1726">
      <c r="A1726" s="56" t="s">
        <v>1506</v>
      </c>
    </row>
    <row r="1727">
      <c r="A1727" s="56" t="s">
        <v>1531</v>
      </c>
    </row>
    <row r="1728">
      <c r="A1728" s="56" t="s">
        <v>1726</v>
      </c>
    </row>
    <row r="1729">
      <c r="A1729" s="56" t="s">
        <v>1727</v>
      </c>
    </row>
    <row r="1730">
      <c r="A1730" s="56" t="s">
        <v>1431</v>
      </c>
    </row>
    <row r="1731">
      <c r="A1731" s="56" t="s">
        <v>1576</v>
      </c>
    </row>
    <row r="1732">
      <c r="A1732" s="56" t="s">
        <v>1577</v>
      </c>
    </row>
    <row r="1733">
      <c r="A1733" s="56" t="s">
        <v>2822</v>
      </c>
    </row>
    <row r="1734">
      <c r="A1734" s="56" t="s">
        <v>3100</v>
      </c>
    </row>
    <row r="1735">
      <c r="A1735" s="56" t="s">
        <v>3102</v>
      </c>
    </row>
    <row r="1736">
      <c r="A1736" s="56" t="s">
        <v>1870</v>
      </c>
    </row>
    <row r="1737">
      <c r="A1737" s="56" t="s">
        <v>1729</v>
      </c>
    </row>
    <row r="1738">
      <c r="A1738" s="56" t="s">
        <v>1431</v>
      </c>
    </row>
    <row r="1739">
      <c r="A1739" s="56" t="s">
        <v>1730</v>
      </c>
    </row>
    <row r="1740">
      <c r="A1740" s="56" t="s">
        <v>1732</v>
      </c>
    </row>
    <row r="1741">
      <c r="A1741" s="56" t="s">
        <v>1734</v>
      </c>
    </row>
    <row r="1742">
      <c r="A1742" s="56" t="s">
        <v>1735</v>
      </c>
    </row>
    <row r="1743">
      <c r="A1743" s="56" t="s">
        <v>1736</v>
      </c>
    </row>
    <row r="1744">
      <c r="A1744" s="56" t="s">
        <v>1738</v>
      </c>
    </row>
    <row r="1745">
      <c r="A1745" s="56" t="s">
        <v>1628</v>
      </c>
    </row>
    <row r="1746">
      <c r="A1746" s="56" t="s">
        <v>4102</v>
      </c>
    </row>
    <row r="1747">
      <c r="A1747" s="56" t="s">
        <v>1739</v>
      </c>
    </row>
    <row r="1748">
      <c r="A1748" s="56" t="s">
        <v>1431</v>
      </c>
    </row>
    <row r="1749">
      <c r="A1749" s="56" t="s">
        <v>1431</v>
      </c>
    </row>
    <row r="1750">
      <c r="A1750" s="56" t="s">
        <v>3303</v>
      </c>
    </row>
    <row r="1751">
      <c r="A1751" s="56" t="s">
        <v>4086</v>
      </c>
    </row>
    <row r="1752">
      <c r="A1752" s="56" t="s">
        <v>1431</v>
      </c>
    </row>
    <row r="1753">
      <c r="A1753" s="56" t="s">
        <v>1741</v>
      </c>
    </row>
    <row r="1754">
      <c r="A1754" s="56" t="s">
        <v>1431</v>
      </c>
    </row>
    <row r="1755">
      <c r="A1755" s="56" t="s">
        <v>1431</v>
      </c>
    </row>
    <row r="1757">
      <c r="A1757" s="56" t="s">
        <v>1743</v>
      </c>
    </row>
    <row r="1758">
      <c r="A1758" s="56" t="s">
        <v>1744</v>
      </c>
    </row>
    <row r="1759">
      <c r="A1759" s="56" t="s">
        <v>4103</v>
      </c>
    </row>
    <row r="1760">
      <c r="A1760" s="56" t="s">
        <v>4086</v>
      </c>
    </row>
    <row r="1761">
      <c r="A1761" s="56" t="s">
        <v>1431</v>
      </c>
    </row>
    <row r="1763">
      <c r="A1763" s="56" t="s">
        <v>4089</v>
      </c>
    </row>
    <row r="1764">
      <c r="A1764" s="56" t="s">
        <v>4104</v>
      </c>
    </row>
    <row r="1765">
      <c r="A1765" s="56" t="s">
        <v>1748</v>
      </c>
    </row>
    <row r="1766">
      <c r="A1766" s="56" t="s">
        <v>1749</v>
      </c>
    </row>
    <row r="1767">
      <c r="A1767" s="56" t="s">
        <v>1750</v>
      </c>
    </row>
    <row r="1768">
      <c r="A1768" s="56" t="s">
        <v>1751</v>
      </c>
    </row>
    <row r="1769">
      <c r="A1769" s="56" t="s">
        <v>1431</v>
      </c>
    </row>
    <row r="1771">
      <c r="A1771" s="56" t="s">
        <v>1753</v>
      </c>
    </row>
    <row r="1772">
      <c r="A1772" s="56" t="s">
        <v>1754</v>
      </c>
    </row>
    <row r="1773">
      <c r="A1773" s="56" t="s">
        <v>1530</v>
      </c>
    </row>
    <row r="1774">
      <c r="A1774" s="56" t="s">
        <v>1531</v>
      </c>
    </row>
    <row r="1775">
      <c r="A1775" s="56" t="s">
        <v>4105</v>
      </c>
    </row>
    <row r="1776">
      <c r="A1776" s="56" t="s">
        <v>1431</v>
      </c>
    </row>
    <row r="1777">
      <c r="A1777" s="56" t="s">
        <v>1535</v>
      </c>
    </row>
    <row r="1778">
      <c r="A1778" s="56" t="s">
        <v>1537</v>
      </c>
    </row>
    <row r="1779">
      <c r="A1779" s="56" t="s">
        <v>4106</v>
      </c>
    </row>
    <row r="1780">
      <c r="A1780" s="56" t="s">
        <v>1431</v>
      </c>
    </row>
    <row r="1781">
      <c r="A1781" s="56" t="s">
        <v>4107</v>
      </c>
    </row>
    <row r="1782">
      <c r="A1782" s="56" t="s">
        <v>1431</v>
      </c>
    </row>
    <row r="1783">
      <c r="A1783" s="56" t="s">
        <v>1431</v>
      </c>
    </row>
    <row r="1784">
      <c r="A1784" s="56" t="s">
        <v>1763</v>
      </c>
    </row>
    <row r="1785">
      <c r="A1785" s="56" t="s">
        <v>4108</v>
      </c>
    </row>
    <row r="1786">
      <c r="A1786" s="56" t="s">
        <v>1431</v>
      </c>
    </row>
    <row r="1787">
      <c r="A1787" s="56" t="s">
        <v>4109</v>
      </c>
    </row>
    <row r="1788">
      <c r="A1788" s="56" t="s">
        <v>1431</v>
      </c>
    </row>
    <row r="1789">
      <c r="A1789" s="56" t="s">
        <v>1431</v>
      </c>
    </row>
    <row r="1790">
      <c r="A1790" s="56" t="s">
        <v>1543</v>
      </c>
    </row>
    <row r="1791">
      <c r="A1791" s="56" t="s">
        <v>1766</v>
      </c>
    </row>
    <row r="1792">
      <c r="A1792" s="56" t="s">
        <v>1767</v>
      </c>
    </row>
    <row r="1793">
      <c r="A1793" s="56" t="s">
        <v>1768</v>
      </c>
    </row>
    <row r="1794">
      <c r="A1794" s="56" t="s">
        <v>1431</v>
      </c>
    </row>
    <row r="1795">
      <c r="A1795" s="56" t="s">
        <v>1769</v>
      </c>
    </row>
    <row r="1796">
      <c r="A1796" s="56" t="s">
        <v>1560</v>
      </c>
    </row>
    <row r="1797">
      <c r="A1797" s="56" t="s">
        <v>1771</v>
      </c>
    </row>
    <row r="1798">
      <c r="A1798" s="56" t="s">
        <v>1563</v>
      </c>
    </row>
    <row r="1799">
      <c r="A1799" s="56" t="s">
        <v>1772</v>
      </c>
    </row>
    <row r="1800">
      <c r="A1800" s="56" t="s">
        <v>1774</v>
      </c>
    </row>
    <row r="1801">
      <c r="A1801" s="56" t="s">
        <v>1431</v>
      </c>
    </row>
    <row r="1802">
      <c r="A1802" s="56" t="s">
        <v>1431</v>
      </c>
    </row>
    <row r="1803">
      <c r="A1803" s="56" t="s">
        <v>1431</v>
      </c>
    </row>
    <row r="1804">
      <c r="A1804" s="56" t="s">
        <v>1431</v>
      </c>
    </row>
    <row r="1805">
      <c r="A1805" s="56" t="s">
        <v>1431</v>
      </c>
    </row>
    <row r="1807">
      <c r="A1807" s="56" t="s">
        <v>1779</v>
      </c>
    </row>
    <row r="1808">
      <c r="A1808" s="56" t="s">
        <v>1781</v>
      </c>
    </row>
    <row r="1809">
      <c r="A1809" s="56" t="s">
        <v>1506</v>
      </c>
    </row>
    <row r="1810">
      <c r="A1810" s="56" t="s">
        <v>1531</v>
      </c>
    </row>
    <row r="1811">
      <c r="A1811" s="56" t="s">
        <v>1782</v>
      </c>
    </row>
    <row r="1812">
      <c r="A1812" s="56" t="s">
        <v>1784</v>
      </c>
    </row>
    <row r="1813">
      <c r="A1813" s="56" t="s">
        <v>1431</v>
      </c>
    </row>
    <row r="1814">
      <c r="A1814" s="56" t="s">
        <v>4110</v>
      </c>
    </row>
    <row r="1815">
      <c r="A1815" s="56" t="s">
        <v>4086</v>
      </c>
    </row>
    <row r="1816">
      <c r="A1816" s="56" t="s">
        <v>1431</v>
      </c>
    </row>
    <row r="1817">
      <c r="A1817" s="56" t="s">
        <v>1431</v>
      </c>
    </row>
    <row r="1818">
      <c r="A1818" s="56" t="s">
        <v>1431</v>
      </c>
    </row>
    <row r="1820">
      <c r="A1820" s="56" t="s">
        <v>1787</v>
      </c>
    </row>
    <row r="1821">
      <c r="A1821" s="56" t="s">
        <v>1788</v>
      </c>
    </row>
    <row r="1822">
      <c r="A1822" s="56" t="s">
        <v>1506</v>
      </c>
    </row>
    <row r="1823">
      <c r="A1823" s="56" t="s">
        <v>1531</v>
      </c>
    </row>
    <row r="1824">
      <c r="A1824" s="56" t="s">
        <v>1790</v>
      </c>
    </row>
    <row r="1825">
      <c r="A1825" s="56" t="s">
        <v>1791</v>
      </c>
    </row>
    <row r="1826">
      <c r="A1826" s="56" t="s">
        <v>1793</v>
      </c>
    </row>
    <row r="1827">
      <c r="A1827" s="56" t="s">
        <v>1794</v>
      </c>
    </row>
    <row r="1828">
      <c r="A1828" s="56" t="s">
        <v>4111</v>
      </c>
    </row>
    <row r="1829">
      <c r="A1829" s="56" t="s">
        <v>1795</v>
      </c>
    </row>
    <row r="1830">
      <c r="A1830" s="56" t="s">
        <v>1797</v>
      </c>
    </row>
    <row r="1831">
      <c r="A1831" s="56" t="s">
        <v>1628</v>
      </c>
    </row>
    <row r="1832">
      <c r="A1832" s="56" t="s">
        <v>1431</v>
      </c>
    </row>
    <row r="1833">
      <c r="A1833" s="56" t="s">
        <v>4112</v>
      </c>
    </row>
    <row r="1834">
      <c r="A1834" s="56" t="s">
        <v>4086</v>
      </c>
    </row>
    <row r="1835">
      <c r="A1835" s="56" t="s">
        <v>1431</v>
      </c>
    </row>
    <row r="1836">
      <c r="A1836" s="56" t="s">
        <v>1431</v>
      </c>
    </row>
    <row r="1837">
      <c r="A1837" s="56" t="s">
        <v>1431</v>
      </c>
    </row>
    <row r="1839">
      <c r="A1839" s="56" t="s">
        <v>1800</v>
      </c>
    </row>
    <row r="1840">
      <c r="A1840" s="56" t="s">
        <v>1801</v>
      </c>
    </row>
    <row r="1841">
      <c r="A1841" s="56" t="s">
        <v>1506</v>
      </c>
    </row>
    <row r="1842">
      <c r="A1842" s="56" t="s">
        <v>1531</v>
      </c>
    </row>
    <row r="1843">
      <c r="A1843" s="56" t="s">
        <v>4113</v>
      </c>
    </row>
    <row r="1844">
      <c r="A1844" s="56" t="s">
        <v>1431</v>
      </c>
    </row>
    <row r="1845">
      <c r="A1845" s="56" t="s">
        <v>4114</v>
      </c>
    </row>
    <row r="1846">
      <c r="A1846" s="56" t="s">
        <v>4086</v>
      </c>
    </row>
    <row r="1847">
      <c r="A1847" s="56" t="s">
        <v>1431</v>
      </c>
    </row>
    <row r="1848">
      <c r="A1848" s="56" t="s">
        <v>1431</v>
      </c>
    </row>
    <row r="1849">
      <c r="A1849" s="56" t="s">
        <v>1431</v>
      </c>
    </row>
    <row r="1851">
      <c r="A1851" s="56" t="s">
        <v>1431</v>
      </c>
    </row>
    <row r="1853">
      <c r="A1853" s="56" t="s">
        <v>1823</v>
      </c>
    </row>
    <row r="1854">
      <c r="A1854" s="56" t="s">
        <v>1824</v>
      </c>
    </row>
    <row r="1855">
      <c r="A1855" s="56" t="s">
        <v>1825</v>
      </c>
    </row>
    <row r="1857">
      <c r="A1857" s="56" t="s">
        <v>4115</v>
      </c>
    </row>
    <row r="1858">
      <c r="A1858" s="56" t="s">
        <v>4116</v>
      </c>
    </row>
    <row r="1859">
      <c r="A1859" s="56" t="s">
        <v>4117</v>
      </c>
    </row>
    <row r="1860">
      <c r="A1860" s="56" t="s">
        <v>4118</v>
      </c>
    </row>
    <row r="1861">
      <c r="A1861" s="56" t="s">
        <v>1493</v>
      </c>
    </row>
    <row r="1862">
      <c r="A1862" s="56" t="s">
        <v>4119</v>
      </c>
    </row>
    <row r="1863">
      <c r="A1863" s="56" t="s">
        <v>4120</v>
      </c>
    </row>
    <row r="1864">
      <c r="A1864" s="56" t="s">
        <v>1431</v>
      </c>
    </row>
    <row r="1865">
      <c r="A1865" s="56" t="s">
        <v>4121</v>
      </c>
    </row>
    <row r="1866">
      <c r="A1866" s="56" t="s">
        <v>1431</v>
      </c>
    </row>
    <row r="1867">
      <c r="A1867" s="56" t="s">
        <v>4122</v>
      </c>
    </row>
    <row r="1868">
      <c r="A1868" s="56" t="s">
        <v>1431</v>
      </c>
    </row>
    <row r="1869">
      <c r="A1869" s="56" t="s">
        <v>1431</v>
      </c>
    </row>
    <row r="1871">
      <c r="A1871" s="56" t="s">
        <v>4123</v>
      </c>
    </row>
    <row r="1872">
      <c r="A1872" s="56" t="s">
        <v>4124</v>
      </c>
    </row>
    <row r="1873">
      <c r="A1873" s="56" t="s">
        <v>4118</v>
      </c>
    </row>
    <row r="1874">
      <c r="A1874" s="56" t="s">
        <v>1493</v>
      </c>
    </row>
    <row r="1875">
      <c r="A1875" s="56" t="s">
        <v>4125</v>
      </c>
    </row>
    <row r="1876">
      <c r="A1876" s="56" t="s">
        <v>4126</v>
      </c>
    </row>
    <row r="1877">
      <c r="A1877" s="56" t="s">
        <v>1431</v>
      </c>
    </row>
    <row r="1878">
      <c r="A1878" s="56" t="s">
        <v>4127</v>
      </c>
    </row>
    <row r="1879">
      <c r="A1879" s="56" t="s">
        <v>1431</v>
      </c>
    </row>
    <row r="1880">
      <c r="A1880" s="56" t="s">
        <v>4128</v>
      </c>
    </row>
    <row r="1881">
      <c r="A1881" s="56" t="s">
        <v>4129</v>
      </c>
    </row>
    <row r="1882">
      <c r="A1882" s="56" t="s">
        <v>1815</v>
      </c>
    </row>
    <row r="1883">
      <c r="A1883" s="56" t="s">
        <v>1563</v>
      </c>
    </row>
    <row r="1884">
      <c r="A1884" s="56" t="s">
        <v>1816</v>
      </c>
    </row>
    <row r="1885">
      <c r="A1885" s="56" t="s">
        <v>4130</v>
      </c>
    </row>
    <row r="1886">
      <c r="A1886" s="56" t="s">
        <v>1818</v>
      </c>
    </row>
    <row r="1887">
      <c r="A1887" s="56" t="s">
        <v>1431</v>
      </c>
    </row>
    <row r="1888">
      <c r="A1888" s="56" t="s">
        <v>1431</v>
      </c>
    </row>
    <row r="1889">
      <c r="A1889" s="56" t="s">
        <v>1431</v>
      </c>
    </row>
    <row r="1890">
      <c r="A1890" s="56" t="s">
        <v>1431</v>
      </c>
    </row>
    <row r="1892">
      <c r="A1892" s="56" t="s">
        <v>1826</v>
      </c>
    </row>
    <row r="1894">
      <c r="A1894" s="56" t="s">
        <v>1827</v>
      </c>
    </row>
    <row r="1895">
      <c r="A1895" s="56" t="s">
        <v>1829</v>
      </c>
    </row>
    <row r="1896">
      <c r="A1896" s="56" t="s">
        <v>1830</v>
      </c>
    </row>
    <row r="1897">
      <c r="A1897" s="56" t="s">
        <v>1829</v>
      </c>
    </row>
    <row r="1898">
      <c r="A1898" s="56" t="s">
        <v>1831</v>
      </c>
    </row>
    <row r="1899">
      <c r="A1899" s="56" t="s">
        <v>1833</v>
      </c>
    </row>
    <row r="1900">
      <c r="A1900" s="56" t="s">
        <v>1835</v>
      </c>
    </row>
    <row r="1901">
      <c r="A1901" s="56" t="s">
        <v>1837</v>
      </c>
    </row>
    <row r="1902">
      <c r="A1902" s="56" t="s">
        <v>1838</v>
      </c>
    </row>
    <row r="1903">
      <c r="A1903" s="56" t="s">
        <v>1839</v>
      </c>
    </row>
    <row r="1904">
      <c r="A1904" s="56" t="s">
        <v>1841</v>
      </c>
    </row>
    <row r="1906">
      <c r="A1906" s="56" t="s">
        <v>1842</v>
      </c>
    </row>
    <row r="1907">
      <c r="A1907" s="64" t="s">
        <v>1843</v>
      </c>
    </row>
    <row r="1908">
      <c r="A1908" s="64" t="s">
        <v>1845</v>
      </c>
    </row>
    <row r="1909">
      <c r="A1909" s="64" t="s">
        <v>1847</v>
      </c>
    </row>
    <row r="1910">
      <c r="A1910" s="64" t="s">
        <v>1848</v>
      </c>
    </row>
    <row r="1911">
      <c r="A1911" s="64" t="s">
        <v>1849</v>
      </c>
    </row>
    <row r="1912">
      <c r="A1912" s="64" t="s">
        <v>1851</v>
      </c>
    </row>
    <row r="1913">
      <c r="A1913" s="64" t="s">
        <v>1852</v>
      </c>
    </row>
    <row r="1914">
      <c r="A1914" s="64" t="s">
        <v>1853</v>
      </c>
    </row>
    <row r="1915">
      <c r="A1915" s="56" t="s">
        <v>1854</v>
      </c>
    </row>
    <row r="1917">
      <c r="A1917" s="56" t="s">
        <v>1829</v>
      </c>
    </row>
    <row r="1918">
      <c r="A1918" s="56" t="s">
        <v>1855</v>
      </c>
    </row>
    <row r="1919">
      <c r="A1919" s="56" t="s">
        <v>1829</v>
      </c>
    </row>
    <row r="1920">
      <c r="A1920" s="56" t="s">
        <v>1857</v>
      </c>
    </row>
    <row r="1921">
      <c r="A1921" s="56" t="s">
        <v>1859</v>
      </c>
    </row>
    <row r="1922">
      <c r="A1922" s="56" t="s">
        <v>1860</v>
      </c>
    </row>
    <row r="1923">
      <c r="A1923" s="56" t="s">
        <v>1861</v>
      </c>
    </row>
    <row r="1924">
      <c r="A1924" s="56" t="s">
        <v>1863</v>
      </c>
    </row>
    <row r="1925">
      <c r="A1925" s="56" t="s">
        <v>1864</v>
      </c>
    </row>
    <row r="1926">
      <c r="A1926" s="56" t="s">
        <v>1865</v>
      </c>
    </row>
    <row r="1927">
      <c r="A1927" s="56" t="s">
        <v>1866</v>
      </c>
    </row>
    <row r="1928">
      <c r="A1928" s="56" t="s">
        <v>1868</v>
      </c>
    </row>
    <row r="1929">
      <c r="A1929" s="64" t="s">
        <v>1869</v>
      </c>
    </row>
    <row r="1930">
      <c r="A1930" s="56" t="s">
        <v>1870</v>
      </c>
    </row>
    <row r="1931">
      <c r="A1931" s="56" t="s">
        <v>1872</v>
      </c>
    </row>
    <row r="1932">
      <c r="A1932" s="56" t="s">
        <v>1874</v>
      </c>
    </row>
    <row r="1933">
      <c r="A1933" s="56" t="s">
        <v>1875</v>
      </c>
    </row>
    <row r="1934">
      <c r="A1934" s="56" t="s">
        <v>1876</v>
      </c>
    </row>
    <row r="1935">
      <c r="A1935" s="56" t="s">
        <v>1878</v>
      </c>
    </row>
    <row r="1936">
      <c r="A1936" s="56" t="s">
        <v>932</v>
      </c>
    </row>
    <row r="1938">
      <c r="A1938" s="56" t="s">
        <v>1829</v>
      </c>
    </row>
    <row r="1939">
      <c r="A1939" s="56" t="s">
        <v>1879</v>
      </c>
    </row>
    <row r="1940">
      <c r="A1940" s="56" t="s">
        <v>1829</v>
      </c>
    </row>
    <row r="1941">
      <c r="A1941" s="56" t="s">
        <v>1881</v>
      </c>
    </row>
    <row r="1942">
      <c r="A1942" s="56" t="s">
        <v>1882</v>
      </c>
    </row>
    <row r="1943">
      <c r="A1943" s="56" t="s">
        <v>1883</v>
      </c>
    </row>
    <row r="1944">
      <c r="A1944" s="56" t="s">
        <v>932</v>
      </c>
    </row>
    <row r="1946">
      <c r="A1946" s="56" t="s">
        <v>1885</v>
      </c>
    </row>
    <row r="1947">
      <c r="A1947" s="56" t="s">
        <v>1887</v>
      </c>
    </row>
    <row r="1948">
      <c r="A1948" s="56" t="s">
        <v>1888</v>
      </c>
    </row>
    <row r="1949">
      <c r="A1949" s="56" t="s">
        <v>1889</v>
      </c>
    </row>
    <row r="1950">
      <c r="A1950" s="56" t="s">
        <v>1891</v>
      </c>
    </row>
    <row r="1951">
      <c r="A1951" s="56" t="s">
        <v>1892</v>
      </c>
    </row>
    <row r="1952">
      <c r="A1952" s="56" t="s">
        <v>1893</v>
      </c>
    </row>
    <row r="1953">
      <c r="A1953" s="56" t="s">
        <v>1894</v>
      </c>
    </row>
    <row r="1954">
      <c r="A1954" s="56" t="s">
        <v>1895</v>
      </c>
    </row>
    <row r="1955">
      <c r="A1955" s="56" t="s">
        <v>1897</v>
      </c>
    </row>
    <row r="1956">
      <c r="A1956" s="56" t="s">
        <v>1898</v>
      </c>
    </row>
    <row r="1957">
      <c r="A1957" s="56" t="s">
        <v>1899</v>
      </c>
    </row>
    <row r="1958">
      <c r="A1958" s="56" t="s">
        <v>1900</v>
      </c>
    </row>
    <row r="1959">
      <c r="A1959" s="56" t="s">
        <v>1902</v>
      </c>
    </row>
    <row r="1960">
      <c r="A1960" s="56" t="s">
        <v>1903</v>
      </c>
    </row>
    <row r="1961">
      <c r="A1961" s="56" t="s">
        <v>1905</v>
      </c>
    </row>
    <row r="1962">
      <c r="A1962" s="56" t="s">
        <v>1854</v>
      </c>
    </row>
    <row r="1963">
      <c r="A1963" s="56" t="s">
        <v>1906</v>
      </c>
    </row>
    <row r="1964">
      <c r="A1964" s="56" t="s">
        <v>1907</v>
      </c>
    </row>
    <row r="1965">
      <c r="A1965" s="56" t="s">
        <v>1854</v>
      </c>
    </row>
    <row r="1966">
      <c r="A1966" s="56" t="s">
        <v>1908</v>
      </c>
    </row>
    <row r="1967">
      <c r="A1967" s="56" t="s">
        <v>1909</v>
      </c>
    </row>
    <row r="1968">
      <c r="A1968" s="56" t="s">
        <v>1910</v>
      </c>
    </row>
    <row r="1969">
      <c r="A1969" s="56" t="s">
        <v>932</v>
      </c>
    </row>
    <row r="1971">
      <c r="A1971" s="56" t="s">
        <v>1912</v>
      </c>
    </row>
    <row r="1972">
      <c r="A1972" s="56" t="s">
        <v>1913</v>
      </c>
    </row>
    <row r="1973">
      <c r="A1973" s="56" t="s">
        <v>1915</v>
      </c>
    </row>
    <row r="1974">
      <c r="A1974" s="56" t="s">
        <v>1917</v>
      </c>
    </row>
    <row r="1975">
      <c r="A1975" s="56" t="s">
        <v>1918</v>
      </c>
    </row>
    <row r="1976">
      <c r="A1976" s="56" t="s">
        <v>1919</v>
      </c>
    </row>
    <row r="1977">
      <c r="A1977" s="56" t="s">
        <v>1921</v>
      </c>
    </row>
    <row r="1978">
      <c r="A1978" s="56" t="s">
        <v>1922</v>
      </c>
    </row>
    <row r="1979">
      <c r="A1979" s="56" t="s">
        <v>1924</v>
      </c>
    </row>
    <row r="1980">
      <c r="A1980" s="56" t="s">
        <v>1926</v>
      </c>
    </row>
    <row r="1981">
      <c r="A1981" s="56" t="s">
        <v>1928</v>
      </c>
    </row>
    <row r="1982">
      <c r="A1982" s="56" t="s">
        <v>1929</v>
      </c>
    </row>
    <row r="1983">
      <c r="A1983" s="56" t="s">
        <v>1930</v>
      </c>
    </row>
    <row r="1984">
      <c r="A1984" s="56" t="s">
        <v>1931</v>
      </c>
    </row>
    <row r="1985">
      <c r="A1985" s="56" t="s">
        <v>1933</v>
      </c>
    </row>
    <row r="1986">
      <c r="A1986" s="56" t="s">
        <v>1934</v>
      </c>
    </row>
    <row r="1987">
      <c r="A1987" s="56" t="s">
        <v>1935</v>
      </c>
    </row>
    <row r="1988">
      <c r="A1988" s="56" t="s">
        <v>1937</v>
      </c>
    </row>
    <row r="1989">
      <c r="A1989" s="56" t="s">
        <v>1939</v>
      </c>
    </row>
    <row r="1990">
      <c r="A1990" s="56" t="s">
        <v>932</v>
      </c>
    </row>
    <row r="1991">
      <c r="A1991" s="56" t="s">
        <v>1940</v>
      </c>
    </row>
    <row r="1992">
      <c r="A1992" s="56" t="s">
        <v>1942</v>
      </c>
    </row>
    <row r="1993">
      <c r="A1993" s="56" t="s">
        <v>1943</v>
      </c>
    </row>
    <row r="1994">
      <c r="A1994" s="56" t="s">
        <v>1910</v>
      </c>
    </row>
    <row r="1995">
      <c r="A1995" s="56" t="s">
        <v>1944</v>
      </c>
    </row>
    <row r="1996">
      <c r="A1996" s="56" t="s">
        <v>1945</v>
      </c>
    </row>
    <row r="1997">
      <c r="A1997" s="56" t="s">
        <v>932</v>
      </c>
    </row>
    <row r="1998">
      <c r="A1998" s="56" t="s">
        <v>1946</v>
      </c>
    </row>
    <row r="1999">
      <c r="A1999" s="56" t="s">
        <v>1947</v>
      </c>
    </row>
    <row r="2000">
      <c r="A2000" s="56" t="s">
        <v>1948</v>
      </c>
    </row>
    <row r="2001">
      <c r="A2001" s="56" t="s">
        <v>1949</v>
      </c>
    </row>
    <row r="2002">
      <c r="A2002" s="56" t="s">
        <v>1950</v>
      </c>
    </row>
    <row r="2003">
      <c r="A2003" s="56" t="s">
        <v>1952</v>
      </c>
    </row>
    <row r="2004">
      <c r="A2004" s="56" t="s">
        <v>1953</v>
      </c>
    </row>
    <row r="2005">
      <c r="A2005" s="56" t="s">
        <v>1910</v>
      </c>
    </row>
    <row r="2006">
      <c r="A2006" s="56" t="s">
        <v>1954</v>
      </c>
    </row>
    <row r="2007">
      <c r="A2007" s="56" t="s">
        <v>1955</v>
      </c>
    </row>
    <row r="2008">
      <c r="A2008" s="56" t="s">
        <v>1910</v>
      </c>
    </row>
    <row r="2009">
      <c r="A2009" s="56" t="s">
        <v>1854</v>
      </c>
    </row>
    <row r="2010">
      <c r="A2010" s="56" t="s">
        <v>1957</v>
      </c>
    </row>
    <row r="2011">
      <c r="A2011" s="56" t="s">
        <v>932</v>
      </c>
    </row>
    <row r="2013">
      <c r="A2013" s="56" t="s">
        <v>1959</v>
      </c>
    </row>
    <row r="2014">
      <c r="A2014" s="56" t="s">
        <v>1960</v>
      </c>
    </row>
    <row r="2015">
      <c r="A2015" s="56" t="s">
        <v>1929</v>
      </c>
    </row>
    <row r="2016">
      <c r="A2016" s="56" t="s">
        <v>1930</v>
      </c>
    </row>
    <row r="2017">
      <c r="A2017" s="56" t="s">
        <v>1931</v>
      </c>
    </row>
    <row r="2018">
      <c r="A2018" s="56" t="s">
        <v>1962</v>
      </c>
    </row>
    <row r="2019">
      <c r="A2019" s="56" t="s">
        <v>1963</v>
      </c>
    </row>
    <row r="2020">
      <c r="A2020" s="56" t="s">
        <v>1944</v>
      </c>
    </row>
    <row r="2021">
      <c r="A2021" s="56" t="s">
        <v>1964</v>
      </c>
    </row>
    <row r="2022">
      <c r="A2022" s="56" t="s">
        <v>932</v>
      </c>
    </row>
    <row r="2023">
      <c r="A2023" s="56" t="s">
        <v>1946</v>
      </c>
    </row>
    <row r="2024">
      <c r="A2024" s="56" t="s">
        <v>1947</v>
      </c>
    </row>
    <row r="2025">
      <c r="A2025" s="56" t="s">
        <v>1965</v>
      </c>
    </row>
    <row r="2026">
      <c r="A2026" s="56" t="s">
        <v>932</v>
      </c>
    </row>
    <row r="2028">
      <c r="A2028" s="56" t="s">
        <v>1829</v>
      </c>
    </row>
    <row r="2029">
      <c r="A2029" s="56" t="s">
        <v>1967</v>
      </c>
    </row>
    <row r="2030">
      <c r="A2030" s="56" t="s">
        <v>1829</v>
      </c>
    </row>
    <row r="2031">
      <c r="A2031" s="56" t="s">
        <v>1969</v>
      </c>
    </row>
    <row r="2032">
      <c r="A2032" s="56" t="s">
        <v>1970</v>
      </c>
    </row>
    <row r="2033">
      <c r="A2033" s="56" t="s">
        <v>1971</v>
      </c>
    </row>
    <row r="2034">
      <c r="A2034" s="56" t="s">
        <v>1972</v>
      </c>
    </row>
    <row r="2035">
      <c r="A2035" s="56" t="s">
        <v>1973</v>
      </c>
    </row>
    <row r="2036">
      <c r="A2036" s="56" t="s">
        <v>1975</v>
      </c>
    </row>
    <row r="2037">
      <c r="A2037" s="56" t="s">
        <v>1976</v>
      </c>
    </row>
    <row r="2038">
      <c r="A2038" s="56" t="s">
        <v>1977</v>
      </c>
    </row>
    <row r="2039">
      <c r="A2039" s="56" t="s">
        <v>932</v>
      </c>
    </row>
    <row r="2040">
      <c r="A2040" s="56" t="s">
        <v>1910</v>
      </c>
    </row>
    <row r="2041">
      <c r="A2041" s="56" t="s">
        <v>1979</v>
      </c>
    </row>
    <row r="2042">
      <c r="A2042" s="56" t="s">
        <v>1981</v>
      </c>
    </row>
    <row r="2043">
      <c r="A2043" s="56" t="s">
        <v>1982</v>
      </c>
    </row>
    <row r="2045">
      <c r="A2045" s="56" t="s">
        <v>1983</v>
      </c>
    </row>
    <row r="2046">
      <c r="A2046" s="56" t="s">
        <v>1984</v>
      </c>
    </row>
    <row r="2048">
      <c r="A2048" s="56" t="s">
        <v>1985</v>
      </c>
    </row>
    <row r="2049">
      <c r="A2049" s="56" t="s">
        <v>1986</v>
      </c>
    </row>
    <row r="2050">
      <c r="A2050" s="56" t="s">
        <v>1988</v>
      </c>
    </row>
    <row r="2051">
      <c r="A2051" s="56" t="s">
        <v>1989</v>
      </c>
    </row>
    <row r="2052">
      <c r="A2052" s="56" t="s">
        <v>1991</v>
      </c>
    </row>
    <row r="2053">
      <c r="A2053" s="56" t="s">
        <v>1992</v>
      </c>
    </row>
    <row r="2054">
      <c r="A2054" s="56" t="s">
        <v>1993</v>
      </c>
    </row>
    <row r="2056">
      <c r="A2056" s="56" t="s">
        <v>1994</v>
      </c>
    </row>
    <row r="2057">
      <c r="A2057" s="56" t="s">
        <v>1995</v>
      </c>
    </row>
    <row r="2058">
      <c r="A2058" s="56" t="s">
        <v>932</v>
      </c>
    </row>
    <row r="2060">
      <c r="A2060" s="56" t="s">
        <v>1829</v>
      </c>
    </row>
    <row r="2061">
      <c r="A2061" s="56" t="s">
        <v>1997</v>
      </c>
    </row>
    <row r="2062">
      <c r="A2062" s="56" t="s">
        <v>1829</v>
      </c>
    </row>
    <row r="2063">
      <c r="A2063" s="56" t="s">
        <v>1999</v>
      </c>
    </row>
    <row r="2064">
      <c r="A2064" s="56" t="s">
        <v>2000</v>
      </c>
    </row>
    <row r="2065">
      <c r="A2065" s="56" t="s">
        <v>2001</v>
      </c>
    </row>
    <row r="2066">
      <c r="A2066" s="56" t="s">
        <v>2002</v>
      </c>
    </row>
    <row r="2067">
      <c r="A2067" s="56" t="s">
        <v>2003</v>
      </c>
    </row>
    <row r="2068">
      <c r="A2068" s="56" t="s">
        <v>2004</v>
      </c>
    </row>
    <row r="2069">
      <c r="A2069" s="56" t="s">
        <v>2005</v>
      </c>
    </row>
    <row r="2070">
      <c r="A2070" s="56" t="s">
        <v>932</v>
      </c>
    </row>
    <row r="2071">
      <c r="A2071" s="56" t="s">
        <v>1929</v>
      </c>
    </row>
    <row r="2072">
      <c r="A2072" s="56" t="s">
        <v>2007</v>
      </c>
    </row>
    <row r="2073">
      <c r="A2073" s="56" t="s">
        <v>2008</v>
      </c>
    </row>
    <row r="2074">
      <c r="A2074" s="56" t="s">
        <v>2009</v>
      </c>
    </row>
    <row r="2075">
      <c r="A2075" s="56" t="s">
        <v>1910</v>
      </c>
    </row>
    <row r="2077">
      <c r="A2077" s="56" t="s">
        <v>2011</v>
      </c>
    </row>
    <row r="2078">
      <c r="A2078" s="56" t="s">
        <v>2012</v>
      </c>
    </row>
    <row r="2079">
      <c r="A2079" s="56" t="s">
        <v>2013</v>
      </c>
    </row>
    <row r="2080">
      <c r="A2080" s="56" t="s">
        <v>2014</v>
      </c>
    </row>
    <row r="2082">
      <c r="A2082" s="56" t="s">
        <v>2016</v>
      </c>
    </row>
    <row r="2083">
      <c r="A2083" s="56" t="s">
        <v>2017</v>
      </c>
    </row>
    <row r="2084">
      <c r="A2084" s="56" t="s">
        <v>2018</v>
      </c>
    </row>
    <row r="2085">
      <c r="A2085" s="56" t="s">
        <v>2019</v>
      </c>
    </row>
    <row r="2087">
      <c r="A2087" s="56" t="s">
        <v>2021</v>
      </c>
    </row>
    <row r="2088">
      <c r="A2088" s="56" t="s">
        <v>2022</v>
      </c>
    </row>
    <row r="2089">
      <c r="A2089" s="56" t="s">
        <v>2023</v>
      </c>
    </row>
    <row r="2090">
      <c r="A2090" s="56" t="s">
        <v>2024</v>
      </c>
    </row>
    <row r="2092">
      <c r="A2092" s="56" t="s">
        <v>2026</v>
      </c>
    </row>
    <row r="2093">
      <c r="A2093" s="56" t="s">
        <v>2027</v>
      </c>
    </row>
    <row r="2094">
      <c r="A2094" s="56" t="s">
        <v>2004</v>
      </c>
    </row>
    <row r="2095">
      <c r="A2095" s="56" t="s">
        <v>932</v>
      </c>
    </row>
    <row r="2097">
      <c r="A2097" s="56" t="s">
        <v>1829</v>
      </c>
    </row>
    <row r="2098">
      <c r="A2098" s="56" t="s">
        <v>2031</v>
      </c>
    </row>
    <row r="2099">
      <c r="A2099" s="56" t="s">
        <v>1829</v>
      </c>
    </row>
    <row r="2100">
      <c r="A2100" s="56" t="s">
        <v>2032</v>
      </c>
    </row>
    <row r="2101">
      <c r="A2101" s="56" t="s">
        <v>1929</v>
      </c>
    </row>
    <row r="2102">
      <c r="A2102" s="56" t="s">
        <v>2034</v>
      </c>
    </row>
    <row r="2103">
      <c r="A2103" s="56" t="s">
        <v>2035</v>
      </c>
    </row>
    <row r="2104">
      <c r="A2104" s="56" t="s">
        <v>2036</v>
      </c>
    </row>
    <row r="2105">
      <c r="A2105" s="56" t="s">
        <v>932</v>
      </c>
    </row>
    <row r="2106">
      <c r="A2106" s="56" t="s">
        <v>2039</v>
      </c>
    </row>
    <row r="2107">
      <c r="A2107" s="56" t="s">
        <v>2040</v>
      </c>
    </row>
    <row r="2108">
      <c r="A2108" s="56" t="s">
        <v>2041</v>
      </c>
    </row>
    <row r="2109">
      <c r="A2109" s="56" t="s">
        <v>932</v>
      </c>
    </row>
    <row r="2111">
      <c r="A2111" s="56" t="s">
        <v>1829</v>
      </c>
    </row>
    <row r="2112">
      <c r="A2112" s="56" t="s">
        <v>2043</v>
      </c>
    </row>
    <row r="2113">
      <c r="A2113" s="56" t="s">
        <v>1829</v>
      </c>
    </row>
    <row r="2114">
      <c r="A2114" s="56" t="s">
        <v>2045</v>
      </c>
    </row>
    <row r="2115">
      <c r="A2115" s="56" t="s">
        <v>2046</v>
      </c>
    </row>
    <row r="2116">
      <c r="A2116" s="56" t="s">
        <v>2048</v>
      </c>
    </row>
    <row r="2117">
      <c r="A2117" s="56" t="s">
        <v>932</v>
      </c>
    </row>
    <row r="2118">
      <c r="A2118" s="56" t="s">
        <v>2050</v>
      </c>
    </row>
    <row r="2119">
      <c r="A2119" s="56" t="s">
        <v>2051</v>
      </c>
    </row>
    <row r="2120">
      <c r="A2120" s="56" t="s">
        <v>2053</v>
      </c>
    </row>
    <row r="2121">
      <c r="A2121" s="56" t="s">
        <v>2054</v>
      </c>
    </row>
    <row r="2122">
      <c r="A2122" s="56" t="s">
        <v>2055</v>
      </c>
    </row>
    <row r="2123">
      <c r="A2123" s="56" t="s">
        <v>2057</v>
      </c>
    </row>
    <row r="2124">
      <c r="A2124" s="56" t="s">
        <v>2058</v>
      </c>
    </row>
    <row r="2125">
      <c r="A2125" s="56" t="s">
        <v>2059</v>
      </c>
    </row>
    <row r="2126">
      <c r="A2126" s="56" t="s">
        <v>2060</v>
      </c>
    </row>
    <row r="2127">
      <c r="A2127" s="56" t="s">
        <v>2062</v>
      </c>
    </row>
    <row r="2128">
      <c r="A2128" s="56" t="s">
        <v>2063</v>
      </c>
    </row>
    <row r="2129">
      <c r="A2129" s="56" t="s">
        <v>2064</v>
      </c>
    </row>
    <row r="2130">
      <c r="A2130" s="56" t="s">
        <v>2066</v>
      </c>
    </row>
    <row r="2131">
      <c r="A2131" s="56" t="s">
        <v>2067</v>
      </c>
    </row>
    <row r="2132">
      <c r="A2132" s="56" t="s">
        <v>2068</v>
      </c>
    </row>
    <row r="2133">
      <c r="A2133" s="56" t="s">
        <v>2069</v>
      </c>
    </row>
    <row r="2134">
      <c r="A2134" s="56" t="s">
        <v>1431</v>
      </c>
    </row>
    <row r="2135">
      <c r="A2135" s="56" t="s">
        <v>2070</v>
      </c>
    </row>
    <row r="2136">
      <c r="A2136" s="56" t="s">
        <v>2072</v>
      </c>
    </row>
    <row r="2137">
      <c r="A2137" s="56" t="s">
        <v>2073</v>
      </c>
    </row>
    <row r="2138">
      <c r="A2138" s="56" t="s">
        <v>2074</v>
      </c>
    </row>
    <row r="2139">
      <c r="A2139" s="56" t="s">
        <v>1628</v>
      </c>
    </row>
    <row r="2140">
      <c r="A2140" s="56" t="s">
        <v>1431</v>
      </c>
    </row>
    <row r="2141">
      <c r="A2141" s="56" t="s">
        <v>2075</v>
      </c>
    </row>
    <row r="2142">
      <c r="A2142" s="56" t="s">
        <v>2076</v>
      </c>
    </row>
    <row r="2143">
      <c r="A2143" s="56" t="s">
        <v>2077</v>
      </c>
    </row>
    <row r="2144">
      <c r="A2144" s="56" t="s">
        <v>1431</v>
      </c>
    </row>
    <row r="2145">
      <c r="A2145" s="56" t="s">
        <v>2078</v>
      </c>
    </row>
    <row r="2146">
      <c r="A2146" s="56" t="s">
        <v>2079</v>
      </c>
    </row>
    <row r="2147">
      <c r="A2147" s="56" t="s">
        <v>2080</v>
      </c>
    </row>
    <row r="2148">
      <c r="A2148" s="56" t="s">
        <v>2081</v>
      </c>
    </row>
    <row r="2149">
      <c r="A2149" s="56" t="s">
        <v>2082</v>
      </c>
    </row>
    <row r="2150">
      <c r="A2150" s="56" t="s">
        <v>2083</v>
      </c>
    </row>
    <row r="2151">
      <c r="A2151" s="56" t="s">
        <v>2085</v>
      </c>
    </row>
    <row r="2152">
      <c r="A2152" s="56" t="s">
        <v>932</v>
      </c>
    </row>
    <row r="2153">
      <c r="A2153" s="56" t="s">
        <v>2087</v>
      </c>
    </row>
    <row r="2154">
      <c r="A2154" s="56" t="s">
        <v>2088</v>
      </c>
    </row>
    <row r="2155">
      <c r="A2155" s="56" t="s">
        <v>2089</v>
      </c>
    </row>
    <row r="2156">
      <c r="A2156" s="56" t="s">
        <v>2091</v>
      </c>
    </row>
    <row r="2157">
      <c r="A2157" s="56" t="s">
        <v>2026</v>
      </c>
    </row>
    <row r="2158">
      <c r="A2158" s="56" t="s">
        <v>2092</v>
      </c>
    </row>
    <row r="2159">
      <c r="A2159" s="56" t="s">
        <v>932</v>
      </c>
    </row>
    <row r="2160">
      <c r="A2160" s="56" t="s">
        <v>2093</v>
      </c>
    </row>
    <row r="2161">
      <c r="A2161" s="56" t="s">
        <v>2094</v>
      </c>
    </row>
    <row r="2162">
      <c r="A2162" s="56" t="s">
        <v>2096</v>
      </c>
    </row>
    <row r="2163">
      <c r="A2163" s="56" t="s">
        <v>2098</v>
      </c>
    </row>
    <row r="2164">
      <c r="A2164" s="56" t="s">
        <v>2099</v>
      </c>
    </row>
    <row r="2165">
      <c r="A2165" s="56" t="s">
        <v>2100</v>
      </c>
    </row>
    <row r="2166">
      <c r="A2166" s="56" t="s">
        <v>2101</v>
      </c>
    </row>
    <row r="2167">
      <c r="A2167" s="56" t="s">
        <v>2102</v>
      </c>
    </row>
    <row r="2168">
      <c r="A2168" s="56" t="s">
        <v>2104</v>
      </c>
    </row>
    <row r="2169">
      <c r="A2169" s="56" t="s">
        <v>2106</v>
      </c>
    </row>
    <row r="2171">
      <c r="A2171" s="56" t="s">
        <v>2109</v>
      </c>
    </row>
    <row r="2172">
      <c r="A2172" s="56" t="s">
        <v>1929</v>
      </c>
    </row>
    <row r="2173">
      <c r="A2173" s="56" t="s">
        <v>2110</v>
      </c>
    </row>
    <row r="2174">
      <c r="A2174" s="56" t="s">
        <v>2112</v>
      </c>
    </row>
    <row r="2175">
      <c r="A2175" s="56" t="s">
        <v>2114</v>
      </c>
    </row>
    <row r="2176">
      <c r="A2176" s="56" t="s">
        <v>2115</v>
      </c>
    </row>
    <row r="2177">
      <c r="A2177" s="56" t="s">
        <v>1946</v>
      </c>
    </row>
    <row r="2178">
      <c r="A2178" s="56" t="s">
        <v>2116</v>
      </c>
    </row>
    <row r="2179">
      <c r="A2179" s="56" t="s">
        <v>2117</v>
      </c>
    </row>
    <row r="2180">
      <c r="A2180" s="56" t="s">
        <v>2119</v>
      </c>
    </row>
    <row r="2181">
      <c r="A2181" s="56" t="s">
        <v>2120</v>
      </c>
    </row>
    <row r="2182">
      <c r="A2182" s="56" t="s">
        <v>932</v>
      </c>
    </row>
    <row r="2184">
      <c r="A2184" s="56" t="s">
        <v>1829</v>
      </c>
    </row>
    <row r="2185">
      <c r="A2185" s="56" t="s">
        <v>2121</v>
      </c>
    </row>
    <row r="2186">
      <c r="A2186" s="56" t="s">
        <v>1829</v>
      </c>
    </row>
    <row r="2187">
      <c r="A2187" s="56" t="s">
        <v>2123</v>
      </c>
    </row>
    <row r="2188">
      <c r="A2188" s="56" t="s">
        <v>2124</v>
      </c>
    </row>
    <row r="2189">
      <c r="A2189" s="56" t="s">
        <v>2125</v>
      </c>
    </row>
    <row r="2190">
      <c r="A2190" s="56" t="s">
        <v>1929</v>
      </c>
    </row>
    <row r="2191">
      <c r="A2191" s="56" t="s">
        <v>2126</v>
      </c>
    </row>
    <row r="2192">
      <c r="A2192" s="56" t="s">
        <v>2128</v>
      </c>
    </row>
    <row r="2193">
      <c r="A2193" s="56" t="s">
        <v>2129</v>
      </c>
    </row>
    <row r="2194">
      <c r="A2194" s="56" t="s">
        <v>2130</v>
      </c>
    </row>
    <row r="2195">
      <c r="A2195" s="56" t="s">
        <v>1946</v>
      </c>
    </row>
    <row r="2196">
      <c r="A2196" s="56" t="s">
        <v>2131</v>
      </c>
    </row>
    <row r="2197">
      <c r="A2197" s="56" t="s">
        <v>2132</v>
      </c>
    </row>
    <row r="2198">
      <c r="A2198" s="56" t="s">
        <v>932</v>
      </c>
    </row>
    <row r="2199">
      <c r="A2199" s="56" t="s">
        <v>2134</v>
      </c>
    </row>
    <row r="2200">
      <c r="A2200" s="56" t="s">
        <v>2135</v>
      </c>
    </row>
    <row r="2201">
      <c r="A2201" s="56" t="s">
        <v>2136</v>
      </c>
    </row>
    <row r="2202">
      <c r="A2202" s="56" t="s">
        <v>2137</v>
      </c>
    </row>
    <row r="2203">
      <c r="A2203" s="56" t="s">
        <v>2138</v>
      </c>
    </row>
    <row r="2204">
      <c r="A2204" s="56" t="s">
        <v>2140</v>
      </c>
    </row>
    <row r="2205">
      <c r="A2205" s="56" t="s">
        <v>2142</v>
      </c>
    </row>
    <row r="2207">
      <c r="A2207" s="56" t="s">
        <v>2143</v>
      </c>
    </row>
    <row r="2208">
      <c r="A2208" s="56" t="s">
        <v>2144</v>
      </c>
    </row>
    <row r="2209">
      <c r="A2209" s="56" t="s">
        <v>2145</v>
      </c>
    </row>
    <row r="2210">
      <c r="A2210" s="56" t="s">
        <v>2146</v>
      </c>
    </row>
    <row r="2211">
      <c r="A2211" s="56" t="s">
        <v>2148</v>
      </c>
    </row>
    <row r="2212">
      <c r="A2212" s="56" t="s">
        <v>2150</v>
      </c>
    </row>
    <row r="2213">
      <c r="A2213" s="56" t="s">
        <v>2151</v>
      </c>
    </row>
    <row r="2214">
      <c r="A2214" s="56" t="s">
        <v>2152</v>
      </c>
    </row>
    <row r="2215">
      <c r="A2215" s="56" t="s">
        <v>2153</v>
      </c>
    </row>
    <row r="2216">
      <c r="A2216" s="56" t="s">
        <v>1910</v>
      </c>
    </row>
    <row r="2218">
      <c r="A2218" s="56" t="s">
        <v>2155</v>
      </c>
    </row>
    <row r="2219">
      <c r="A2219" s="56" t="s">
        <v>2157</v>
      </c>
    </row>
    <row r="2220">
      <c r="A2220" s="56" t="s">
        <v>2159</v>
      </c>
    </row>
    <row r="2221">
      <c r="A2221" s="56" t="s">
        <v>2161</v>
      </c>
    </row>
    <row r="2222">
      <c r="A2222" s="56" t="s">
        <v>2162</v>
      </c>
    </row>
    <row r="2223">
      <c r="A2223" s="56" t="s">
        <v>1910</v>
      </c>
    </row>
    <row r="2225">
      <c r="A2225" s="56" t="s">
        <v>2165</v>
      </c>
    </row>
    <row r="2226">
      <c r="A2226" s="56" t="s">
        <v>2166</v>
      </c>
    </row>
    <row r="2227">
      <c r="A2227" s="56" t="s">
        <v>2167</v>
      </c>
    </row>
    <row r="2228">
      <c r="A2228" s="56" t="s">
        <v>2168</v>
      </c>
    </row>
    <row r="2229">
      <c r="A2229" s="56" t="s">
        <v>932</v>
      </c>
    </row>
    <row r="2230">
      <c r="A2230" s="56" t="s">
        <v>2169</v>
      </c>
    </row>
    <row r="2231">
      <c r="A2231" s="56" t="s">
        <v>2170</v>
      </c>
    </row>
    <row r="2232">
      <c r="A2232" s="56" t="s">
        <v>2172</v>
      </c>
    </row>
    <row r="2233">
      <c r="A2233" s="56" t="s">
        <v>2174</v>
      </c>
    </row>
    <row r="2234">
      <c r="A2234" s="56" t="s">
        <v>2130</v>
      </c>
    </row>
    <row r="2235">
      <c r="A2235" s="56" t="s">
        <v>932</v>
      </c>
    </row>
    <row r="2237">
      <c r="A2237" s="56" t="s">
        <v>2176</v>
      </c>
    </row>
    <row r="2238">
      <c r="A2238" s="56" t="s">
        <v>2177</v>
      </c>
    </row>
    <row r="2239">
      <c r="A2239" s="56" t="s">
        <v>2178</v>
      </c>
    </row>
    <row r="2240">
      <c r="A2240" s="56" t="s">
        <v>2179</v>
      </c>
    </row>
    <row r="2241">
      <c r="A2241" s="56" t="s">
        <v>2180</v>
      </c>
    </row>
    <row r="2243">
      <c r="A2243" s="56" t="s">
        <v>2182</v>
      </c>
    </row>
    <row r="2244">
      <c r="A2244" s="56" t="s">
        <v>2183</v>
      </c>
    </row>
    <row r="2245">
      <c r="A2245" s="56" t="s">
        <v>2184</v>
      </c>
    </row>
    <row r="2247">
      <c r="A2247" s="56" t="s">
        <v>2186</v>
      </c>
    </row>
    <row r="2248">
      <c r="A2248" s="56" t="s">
        <v>2187</v>
      </c>
    </row>
    <row r="2249">
      <c r="A2249" s="56" t="s">
        <v>2188</v>
      </c>
    </row>
    <row r="2250">
      <c r="A2250" s="56" t="s">
        <v>2005</v>
      </c>
    </row>
    <row r="2251">
      <c r="A2251" s="56" t="s">
        <v>932</v>
      </c>
    </row>
    <row r="2253">
      <c r="A2253" s="56" t="s">
        <v>2190</v>
      </c>
    </row>
    <row r="2254">
      <c r="A2254" s="56" t="s">
        <v>2191</v>
      </c>
    </row>
    <row r="2256">
      <c r="A2256" s="56" t="s">
        <v>4131</v>
      </c>
    </row>
    <row r="2257">
      <c r="A2257" s="69" t="str">
        <f>+'&lt;th style="cursor:pointer; width: 100px;" onclick="ordSort(\'order_date\')"&gt;Date'+arrow('order_date')+'&lt;/th&gt;'</f>
        <v>#ERROR!</v>
      </c>
    </row>
    <row r="2258">
      <c r="A2258" s="69" t="str">
        <f>+'&lt;th style="width: 140px;"&gt;Order ID&lt;/th&gt;'</f>
        <v>#ERROR!</v>
      </c>
    </row>
    <row r="2259">
      <c r="A2259" s="69" t="str">
        <f>+'&lt;th style="width: 120px;"&gt;Channel&lt;/th&gt;'</f>
        <v>#ERROR!</v>
      </c>
    </row>
    <row r="2260">
      <c r="A2260" s="69" t="str">
        <f>+'&lt;th style="cursor:pointer;" onclick="ordSort(\'buyer_name\')"&gt;Customer Details'+arrow('buyer_name')+'&lt;/th&gt;'</f>
        <v>#ERROR!</v>
      </c>
    </row>
    <row r="2261">
      <c r="A2261" s="69" t="str">
        <f>+'&lt;th&gt;Products&lt;/th&gt;'</f>
        <v>#ERROR!</v>
      </c>
    </row>
    <row r="2262">
      <c r="A2262" s="69" t="str">
        <f>+'&lt;th style="text-align:right;cursor:pointer;width:80px;" onclick="ordSort(\'total_quantity\')"&gt;Qty'+arrow('total_quantity')+'&lt;/th&gt;'</f>
        <v>#ERROR!</v>
      </c>
    </row>
    <row r="2263">
      <c r="A2263" s="69" t="str">
        <f>+'&lt;th style="width: 120px;"&gt;Status&lt;/th&gt;'</f>
        <v>#ERROR!</v>
      </c>
    </row>
    <row r="2264">
      <c r="A2264" s="69" t="str">
        <f>+'&lt;th style="width:40px;"&gt;&lt;/th&gt;'</f>
        <v>#ERROR!</v>
      </c>
    </row>
    <row r="2265">
      <c r="A2265" s="69" t="str">
        <f>+'&lt;/tr&gt;&lt;/thead&gt;&lt;tbody&gt;';</f>
        <v>#ERROR!</v>
      </c>
    </row>
    <row r="2267">
      <c r="A2267" s="56" t="s">
        <v>2198</v>
      </c>
    </row>
    <row r="2268">
      <c r="A2268" s="56" t="s">
        <v>2199</v>
      </c>
    </row>
    <row r="2269">
      <c r="A2269" s="56" t="s">
        <v>2200</v>
      </c>
    </row>
    <row r="2270">
      <c r="A2270" s="56" t="s">
        <v>2201</v>
      </c>
    </row>
    <row r="2271">
      <c r="A2271" s="56" t="s">
        <v>4132</v>
      </c>
    </row>
    <row r="2273">
      <c r="A2273" s="56" t="s">
        <v>2205</v>
      </c>
    </row>
    <row r="2274">
      <c r="A2274" s="56" t="s">
        <v>2206</v>
      </c>
    </row>
    <row r="2275">
      <c r="A2275" s="56" t="s">
        <v>2208</v>
      </c>
    </row>
    <row r="2276">
      <c r="A2276" s="56" t="s">
        <v>2209</v>
      </c>
    </row>
    <row r="2277">
      <c r="A2277" s="56" t="s">
        <v>2210</v>
      </c>
    </row>
    <row r="2278">
      <c r="A2278" s="56" t="s">
        <v>2212</v>
      </c>
    </row>
    <row r="2279">
      <c r="A2279" s="56" t="s">
        <v>2213</v>
      </c>
    </row>
    <row r="2280">
      <c r="A2280" s="56" t="s">
        <v>2214</v>
      </c>
    </row>
    <row r="2281">
      <c r="A2281" s="56" t="s">
        <v>2215</v>
      </c>
    </row>
    <row r="2282">
      <c r="A2282" s="56" t="s">
        <v>2217</v>
      </c>
    </row>
    <row r="2283">
      <c r="A2283" s="56" t="s">
        <v>932</v>
      </c>
    </row>
    <row r="2284">
      <c r="A2284" s="56" t="s">
        <v>2218</v>
      </c>
    </row>
    <row r="2285">
      <c r="A2285" s="56" t="s">
        <v>2219</v>
      </c>
    </row>
    <row r="2287">
      <c r="A2287" s="56" t="s">
        <v>2220</v>
      </c>
    </row>
    <row r="2288">
      <c r="A2288" s="56" t="s">
        <v>2221</v>
      </c>
    </row>
    <row r="2289">
      <c r="A2289" s="56" t="s">
        <v>2222</v>
      </c>
    </row>
    <row r="2290">
      <c r="A2290" s="56" t="s">
        <v>2223</v>
      </c>
    </row>
    <row r="2291">
      <c r="A2291" s="56" t="s">
        <v>2225</v>
      </c>
    </row>
    <row r="2293">
      <c r="A2293" s="56" t="s">
        <v>2226</v>
      </c>
    </row>
    <row r="2294">
      <c r="A2294" s="56" t="s">
        <v>2227</v>
      </c>
    </row>
    <row r="2295">
      <c r="A2295" s="56" t="s">
        <v>2229</v>
      </c>
    </row>
    <row r="2296">
      <c r="A2296" s="56" t="s">
        <v>2230</v>
      </c>
    </row>
    <row r="2297">
      <c r="A2297" s="56" t="s">
        <v>2231</v>
      </c>
    </row>
    <row r="2298">
      <c r="A2298" s="56" t="s">
        <v>2080</v>
      </c>
    </row>
    <row r="2299">
      <c r="A2299" s="56" t="s">
        <v>932</v>
      </c>
    </row>
    <row r="2301">
      <c r="A2301" s="56" t="s">
        <v>2233</v>
      </c>
    </row>
    <row r="2302">
      <c r="A2302" s="56" t="s">
        <v>2234</v>
      </c>
    </row>
    <row r="2303">
      <c r="A2303" s="56" t="s">
        <v>2236</v>
      </c>
    </row>
    <row r="2304">
      <c r="A2304" s="56" t="s">
        <v>2238</v>
      </c>
    </row>
    <row r="2305">
      <c r="A2305" s="56" t="s">
        <v>2190</v>
      </c>
    </row>
    <row r="2306">
      <c r="A2306" s="56" t="s">
        <v>2200</v>
      </c>
    </row>
    <row r="2307">
      <c r="A2307" s="56" t="s">
        <v>4132</v>
      </c>
    </row>
    <row r="2309">
      <c r="A2309" s="56" t="s">
        <v>2240</v>
      </c>
    </row>
    <row r="2310">
      <c r="A2310" s="56" t="s">
        <v>4133</v>
      </c>
    </row>
    <row r="2311">
      <c r="A2311" s="56" t="s">
        <v>1493</v>
      </c>
    </row>
    <row r="2312">
      <c r="A2312" s="56" t="s">
        <v>2243</v>
      </c>
    </row>
    <row r="2313">
      <c r="A2313" s="56" t="s">
        <v>2244</v>
      </c>
    </row>
    <row r="2314">
      <c r="A2314" s="56" t="s">
        <v>1431</v>
      </c>
    </row>
    <row r="2315">
      <c r="A2315" s="56" t="s">
        <v>2245</v>
      </c>
    </row>
    <row r="2316">
      <c r="A2316" s="56" t="s">
        <v>2246</v>
      </c>
    </row>
    <row r="2317">
      <c r="A2317" s="56" t="s">
        <v>2247</v>
      </c>
    </row>
    <row r="2318">
      <c r="A2318" s="56" t="s">
        <v>2248</v>
      </c>
    </row>
    <row r="2319">
      <c r="A2319" s="56" t="s">
        <v>1431</v>
      </c>
    </row>
    <row r="2320">
      <c r="A2320" s="56" t="s">
        <v>1431</v>
      </c>
    </row>
    <row r="2321">
      <c r="A2321" s="56" t="s">
        <v>1431</v>
      </c>
    </row>
    <row r="2323">
      <c r="A2323" s="56" t="s">
        <v>4134</v>
      </c>
    </row>
    <row r="2324">
      <c r="A2324" s="56" t="s">
        <v>4135</v>
      </c>
    </row>
    <row r="2325">
      <c r="A2325" s="56" t="s">
        <v>2252</v>
      </c>
    </row>
    <row r="2326">
      <c r="A2326" s="56" t="s">
        <v>2253</v>
      </c>
    </row>
    <row r="2327">
      <c r="A2327" s="56" t="s">
        <v>1431</v>
      </c>
    </row>
    <row r="2328">
      <c r="A2328" s="56" t="s">
        <v>4136</v>
      </c>
    </row>
    <row r="2329">
      <c r="A2329" s="56" t="s">
        <v>2256</v>
      </c>
    </row>
    <row r="2330">
      <c r="A2330" s="56" t="s">
        <v>2257</v>
      </c>
    </row>
    <row r="2331">
      <c r="A2331" s="56" t="s">
        <v>1431</v>
      </c>
    </row>
    <row r="2332">
      <c r="A2332" s="56" t="s">
        <v>1431</v>
      </c>
    </row>
    <row r="2334">
      <c r="A2334" s="56" t="s">
        <v>4137</v>
      </c>
    </row>
    <row r="2335">
      <c r="A2335" s="56" t="s">
        <v>4138</v>
      </c>
    </row>
    <row r="2336">
      <c r="A2336" s="56" t="s">
        <v>4139</v>
      </c>
    </row>
    <row r="2337">
      <c r="A2337" s="56" t="s">
        <v>1663</v>
      </c>
    </row>
    <row r="2338">
      <c r="A2338" s="56" t="s">
        <v>2262</v>
      </c>
    </row>
    <row r="2339">
      <c r="A2339" s="56" t="s">
        <v>1666</v>
      </c>
    </row>
    <row r="2340">
      <c r="A2340" s="56" t="s">
        <v>2264</v>
      </c>
    </row>
    <row r="2341">
      <c r="A2341" s="56" t="s">
        <v>2265</v>
      </c>
    </row>
    <row r="2342">
      <c r="A2342" s="56" t="s">
        <v>2266</v>
      </c>
    </row>
    <row r="2343">
      <c r="A2343" s="56" t="s">
        <v>2267</v>
      </c>
    </row>
    <row r="2344">
      <c r="A2344" s="56" t="s">
        <v>2268</v>
      </c>
    </row>
    <row r="2345">
      <c r="A2345" s="56" t="s">
        <v>2269</v>
      </c>
    </row>
    <row r="2346">
      <c r="A2346" s="56" t="s">
        <v>2270</v>
      </c>
    </row>
    <row r="2347">
      <c r="A2347" s="56" t="s">
        <v>2271</v>
      </c>
    </row>
    <row r="2348">
      <c r="A2348" s="56" t="s">
        <v>2273</v>
      </c>
    </row>
    <row r="2349">
      <c r="A2349" s="56" t="s">
        <v>2274</v>
      </c>
    </row>
    <row r="2350">
      <c r="A2350" s="56" t="s">
        <v>1668</v>
      </c>
    </row>
    <row r="2351">
      <c r="A2351" s="56" t="s">
        <v>1431</v>
      </c>
    </row>
    <row r="2353">
      <c r="A2353" s="56" t="s">
        <v>2276</v>
      </c>
    </row>
    <row r="2354">
      <c r="A2354" s="56" t="s">
        <v>2277</v>
      </c>
    </row>
    <row r="2355">
      <c r="A2355" s="56" t="s">
        <v>2279</v>
      </c>
    </row>
    <row r="2356">
      <c r="A2356" s="56" t="s">
        <v>1431</v>
      </c>
    </row>
    <row r="2357">
      <c r="A2357" s="56" t="s">
        <v>1874</v>
      </c>
    </row>
    <row r="2359">
      <c r="A2359" s="56" t="s">
        <v>4140</v>
      </c>
    </row>
    <row r="2360">
      <c r="A2360" s="56" t="s">
        <v>4141</v>
      </c>
    </row>
    <row r="2361">
      <c r="A2361" s="64" t="s">
        <v>4142</v>
      </c>
    </row>
    <row r="2362">
      <c r="A2362" s="64" t="s">
        <v>4143</v>
      </c>
    </row>
    <row r="2363">
      <c r="A2363" s="64" t="s">
        <v>4144</v>
      </c>
    </row>
    <row r="2364">
      <c r="A2364" s="64" t="s">
        <v>4145</v>
      </c>
    </row>
    <row r="2365">
      <c r="A2365" s="64" t="s">
        <v>4146</v>
      </c>
    </row>
    <row r="2366">
      <c r="A2366" s="64" t="s">
        <v>4147</v>
      </c>
    </row>
    <row r="2367">
      <c r="A2367" s="64" t="s">
        <v>4148</v>
      </c>
    </row>
    <row r="2368">
      <c r="A2368" s="56" t="s">
        <v>1854</v>
      </c>
    </row>
    <row r="2369">
      <c r="A2369" s="56" t="s">
        <v>4149</v>
      </c>
    </row>
    <row r="2370">
      <c r="A2370" s="56" t="s">
        <v>4150</v>
      </c>
    </row>
    <row r="2372">
      <c r="A2372" s="56" t="s">
        <v>4151</v>
      </c>
    </row>
    <row r="2373">
      <c r="A2373" s="56" t="s">
        <v>4152</v>
      </c>
    </row>
    <row r="2374">
      <c r="A2374" s="56" t="s">
        <v>4153</v>
      </c>
    </row>
    <row r="2375">
      <c r="A2375" s="56" t="s">
        <v>4154</v>
      </c>
    </row>
    <row r="2377">
      <c r="A2377" s="56" t="s">
        <v>4155</v>
      </c>
    </row>
    <row r="2378">
      <c r="A2378" s="56" t="s">
        <v>4156</v>
      </c>
    </row>
    <row r="2379">
      <c r="A2379" s="56" t="s">
        <v>4157</v>
      </c>
    </row>
    <row r="2380">
      <c r="A2380" s="56" t="s">
        <v>4158</v>
      </c>
    </row>
    <row r="2381">
      <c r="A2381" s="56" t="s">
        <v>932</v>
      </c>
    </row>
    <row r="2382">
      <c r="A2382" s="56" t="s">
        <v>4159</v>
      </c>
    </row>
    <row r="2383">
      <c r="A2383" s="56" t="s">
        <v>4160</v>
      </c>
    </row>
    <row r="2384">
      <c r="A2384" s="56" t="s">
        <v>932</v>
      </c>
    </row>
    <row r="2385">
      <c r="A2385" s="56" t="s">
        <v>4161</v>
      </c>
    </row>
    <row r="2386">
      <c r="A2386" s="56" t="s">
        <v>932</v>
      </c>
    </row>
    <row r="2388">
      <c r="A2388" s="56" t="s">
        <v>2285</v>
      </c>
    </row>
    <row r="2389">
      <c r="A2389" s="56" t="s">
        <v>2286</v>
      </c>
    </row>
    <row r="2390">
      <c r="A2390" s="56" t="s">
        <v>932</v>
      </c>
    </row>
    <row r="2391">
      <c r="A2391" s="56" t="s">
        <v>2287</v>
      </c>
    </row>
    <row r="2393">
      <c r="A2393" s="56" t="s">
        <v>4162</v>
      </c>
    </row>
    <row r="2394">
      <c r="A2394" s="56" t="s">
        <v>4163</v>
      </c>
    </row>
    <row r="2395">
      <c r="A2395" s="56" t="s">
        <v>1929</v>
      </c>
    </row>
    <row r="2396">
      <c r="A2396" s="56" t="s">
        <v>1930</v>
      </c>
    </row>
    <row r="2397">
      <c r="A2397" s="56" t="s">
        <v>2514</v>
      </c>
    </row>
    <row r="2398">
      <c r="A2398" s="56" t="s">
        <v>4164</v>
      </c>
    </row>
    <row r="2399">
      <c r="A2399" s="56" t="s">
        <v>4165</v>
      </c>
    </row>
    <row r="2400">
      <c r="A2400" s="56" t="s">
        <v>4166</v>
      </c>
    </row>
    <row r="2401">
      <c r="A2401" s="56" t="s">
        <v>1946</v>
      </c>
    </row>
    <row r="2402">
      <c r="A2402" s="56" t="s">
        <v>2293</v>
      </c>
    </row>
    <row r="2403">
      <c r="A2403" s="56" t="s">
        <v>4167</v>
      </c>
    </row>
    <row r="2404">
      <c r="A2404" s="56" t="s">
        <v>932</v>
      </c>
    </row>
    <row r="2406">
      <c r="A2406" s="56" t="s">
        <v>2289</v>
      </c>
    </row>
    <row r="2407">
      <c r="A2407" s="56" t="s">
        <v>2291</v>
      </c>
    </row>
    <row r="2408">
      <c r="A2408" s="56" t="s">
        <v>1929</v>
      </c>
    </row>
    <row r="2409">
      <c r="A2409" s="56" t="s">
        <v>2292</v>
      </c>
    </row>
    <row r="2410">
      <c r="A2410" s="56" t="s">
        <v>2293</v>
      </c>
    </row>
    <row r="2411">
      <c r="A2411" s="56" t="s">
        <v>2294</v>
      </c>
    </row>
    <row r="2412">
      <c r="A2412" s="56" t="s">
        <v>932</v>
      </c>
    </row>
    <row r="2414">
      <c r="A2414" s="56" t="s">
        <v>1829</v>
      </c>
    </row>
    <row r="2415">
      <c r="A2415" s="56" t="s">
        <v>2297</v>
      </c>
    </row>
    <row r="2416">
      <c r="A2416" s="56" t="s">
        <v>1829</v>
      </c>
    </row>
    <row r="2417">
      <c r="A2417" s="56" t="s">
        <v>2299</v>
      </c>
    </row>
    <row r="2418">
      <c r="A2418" s="56" t="s">
        <v>2300</v>
      </c>
    </row>
    <row r="2419">
      <c r="A2419" s="56" t="s">
        <v>1929</v>
      </c>
    </row>
    <row r="2420">
      <c r="A2420" s="56" t="s">
        <v>2301</v>
      </c>
    </row>
    <row r="2421">
      <c r="A2421" s="56" t="s">
        <v>2303</v>
      </c>
    </row>
    <row r="2422">
      <c r="A2422" s="56" t="s">
        <v>2036</v>
      </c>
    </row>
    <row r="2423">
      <c r="A2423" s="56" t="s">
        <v>932</v>
      </c>
    </row>
    <row r="2424">
      <c r="A2424" s="56" t="s">
        <v>2304</v>
      </c>
    </row>
    <row r="2425">
      <c r="A2425" s="56" t="s">
        <v>2305</v>
      </c>
    </row>
    <row r="2426">
      <c r="A2426" s="56" t="s">
        <v>2307</v>
      </c>
    </row>
    <row r="2427">
      <c r="A2427" s="56" t="s">
        <v>2309</v>
      </c>
    </row>
    <row r="2429">
      <c r="A2429" s="56" t="s">
        <v>2310</v>
      </c>
    </row>
    <row r="2430">
      <c r="A2430" s="56" t="s">
        <v>2311</v>
      </c>
    </row>
    <row r="2431">
      <c r="A2431" s="56" t="s">
        <v>2312</v>
      </c>
    </row>
    <row r="2432">
      <c r="A2432" s="56" t="s">
        <v>2313</v>
      </c>
    </row>
    <row r="2433">
      <c r="A2433" s="56" t="s">
        <v>1910</v>
      </c>
    </row>
    <row r="2435">
      <c r="A2435" s="56" t="s">
        <v>2315</v>
      </c>
    </row>
    <row r="2436">
      <c r="A2436" s="56" t="s">
        <v>2316</v>
      </c>
    </row>
    <row r="2437">
      <c r="A2437" s="56" t="s">
        <v>2317</v>
      </c>
    </row>
    <row r="2438">
      <c r="A2438" s="56" t="s">
        <v>2318</v>
      </c>
    </row>
    <row r="2439">
      <c r="A2439" s="56" t="s">
        <v>2319</v>
      </c>
    </row>
    <row r="2440">
      <c r="A2440" s="56" t="s">
        <v>932</v>
      </c>
    </row>
    <row r="2441">
      <c r="A2441" s="56" t="s">
        <v>2320</v>
      </c>
    </row>
    <row r="2442">
      <c r="A2442" s="56" t="s">
        <v>932</v>
      </c>
    </row>
    <row r="2443">
      <c r="A2443" s="56" t="s">
        <v>2322</v>
      </c>
    </row>
    <row r="2444">
      <c r="A2444" s="56" t="s">
        <v>2323</v>
      </c>
    </row>
    <row r="2445">
      <c r="A2445" s="56" t="s">
        <v>2324</v>
      </c>
    </row>
    <row r="2446">
      <c r="A2446" s="56" t="s">
        <v>932</v>
      </c>
    </row>
    <row r="2447">
      <c r="A2447" s="56" t="s">
        <v>2325</v>
      </c>
    </row>
    <row r="2449">
      <c r="A2449" s="56" t="s">
        <v>2327</v>
      </c>
    </row>
    <row r="2450">
      <c r="A2450" s="56" t="s">
        <v>2328</v>
      </c>
    </row>
    <row r="2451">
      <c r="A2451" s="56" t="s">
        <v>2329</v>
      </c>
    </row>
    <row r="2452">
      <c r="A2452" s="56" t="s">
        <v>2330</v>
      </c>
    </row>
    <row r="2453">
      <c r="A2453" s="56" t="s">
        <v>2331</v>
      </c>
    </row>
    <row r="2454">
      <c r="A2454" s="56" t="s">
        <v>2332</v>
      </c>
    </row>
    <row r="2455">
      <c r="A2455" s="56" t="s">
        <v>2333</v>
      </c>
    </row>
    <row r="2456">
      <c r="A2456" s="56" t="s">
        <v>2335</v>
      </c>
    </row>
    <row r="2458">
      <c r="A2458" s="56" t="s">
        <v>2186</v>
      </c>
    </row>
    <row r="2459">
      <c r="A2459" s="56" t="s">
        <v>2336</v>
      </c>
    </row>
    <row r="2460">
      <c r="A2460" s="56" t="s">
        <v>2338</v>
      </c>
    </row>
    <row r="2461">
      <c r="A2461" s="56" t="s">
        <v>932</v>
      </c>
    </row>
    <row r="2463">
      <c r="A2463" s="56" t="s">
        <v>2339</v>
      </c>
    </row>
    <row r="2464">
      <c r="A2464" s="56" t="s">
        <v>2341</v>
      </c>
    </row>
    <row r="2465">
      <c r="A2465" s="56" t="s">
        <v>2342</v>
      </c>
    </row>
    <row r="2466">
      <c r="A2466" s="56" t="s">
        <v>2343</v>
      </c>
    </row>
    <row r="2467">
      <c r="A2467" s="56" t="s">
        <v>2344</v>
      </c>
    </row>
    <row r="2468">
      <c r="A2468" s="56" t="s">
        <v>2345</v>
      </c>
    </row>
    <row r="2469">
      <c r="A2469" s="56" t="s">
        <v>2346</v>
      </c>
    </row>
    <row r="2471">
      <c r="A2471" s="56" t="s">
        <v>2348</v>
      </c>
    </row>
    <row r="2472">
      <c r="A2472" s="56" t="s">
        <v>2349</v>
      </c>
    </row>
    <row r="2473">
      <c r="A2473" s="56" t="s">
        <v>2350</v>
      </c>
    </row>
    <row r="2475">
      <c r="A2475" s="56" t="s">
        <v>2352</v>
      </c>
    </row>
    <row r="2476">
      <c r="A2476" s="56" t="s">
        <v>2353</v>
      </c>
    </row>
    <row r="2477">
      <c r="A2477" s="56" t="s">
        <v>2354</v>
      </c>
    </row>
    <row r="2478">
      <c r="A2478" s="56" t="s">
        <v>2356</v>
      </c>
    </row>
    <row r="2479">
      <c r="A2479" s="56" t="s">
        <v>2357</v>
      </c>
    </row>
    <row r="2480">
      <c r="A2480" s="56" t="s">
        <v>2358</v>
      </c>
    </row>
    <row r="2481">
      <c r="A2481" s="56" t="s">
        <v>2359</v>
      </c>
    </row>
    <row r="2482">
      <c r="A2482" s="56" t="s">
        <v>2361</v>
      </c>
    </row>
    <row r="2483">
      <c r="A2483" s="56" t="s">
        <v>2081</v>
      </c>
    </row>
    <row r="2485">
      <c r="A2485" s="56" t="s">
        <v>2362</v>
      </c>
    </row>
    <row r="2486">
      <c r="A2486" s="56" t="s">
        <v>2363</v>
      </c>
    </row>
    <row r="2488">
      <c r="A2488" s="56" t="s">
        <v>2364</v>
      </c>
    </row>
    <row r="2489">
      <c r="A2489" s="56" t="s">
        <v>2365</v>
      </c>
    </row>
    <row r="2490">
      <c r="A2490" s="56" t="s">
        <v>2366</v>
      </c>
    </row>
    <row r="2491">
      <c r="A2491" s="56" t="s">
        <v>2367</v>
      </c>
    </row>
    <row r="2492">
      <c r="A2492" s="56" t="s">
        <v>2368</v>
      </c>
    </row>
    <row r="2493">
      <c r="A2493" s="56" t="s">
        <v>1431</v>
      </c>
    </row>
    <row r="2494">
      <c r="A2494" s="56" t="s">
        <v>2370</v>
      </c>
    </row>
    <row r="2495">
      <c r="A2495" s="56" t="s">
        <v>1493</v>
      </c>
    </row>
    <row r="2496">
      <c r="A2496" s="56" t="s">
        <v>2371</v>
      </c>
    </row>
    <row r="2497">
      <c r="A2497" s="56" t="s">
        <v>2372</v>
      </c>
    </row>
    <row r="2498">
      <c r="A2498" s="56" t="s">
        <v>1431</v>
      </c>
    </row>
    <row r="2499">
      <c r="A2499" s="56" t="s">
        <v>2373</v>
      </c>
    </row>
    <row r="2500">
      <c r="A2500" s="56" t="s">
        <v>1431</v>
      </c>
    </row>
    <row r="2501">
      <c r="A2501" s="56" t="s">
        <v>2376</v>
      </c>
    </row>
    <row r="2502">
      <c r="A2502" s="56" t="s">
        <v>2378</v>
      </c>
    </row>
    <row r="2503">
      <c r="A2503" s="56" t="s">
        <v>2380</v>
      </c>
    </row>
    <row r="2504">
      <c r="A2504" s="56" t="s">
        <v>2381</v>
      </c>
    </row>
    <row r="2505">
      <c r="A2505" s="56" t="s">
        <v>2382</v>
      </c>
    </row>
    <row r="2506">
      <c r="A2506" s="56" t="s">
        <v>1431</v>
      </c>
    </row>
    <row r="2507">
      <c r="A2507" s="56" t="s">
        <v>2080</v>
      </c>
    </row>
    <row r="2508">
      <c r="A2508" s="56" t="s">
        <v>2081</v>
      </c>
    </row>
    <row r="2510">
      <c r="A2510" s="56" t="s">
        <v>2384</v>
      </c>
    </row>
    <row r="2512">
      <c r="A2512" s="56" t="s">
        <v>2385</v>
      </c>
    </row>
    <row r="2513">
      <c r="A2513" s="56" t="s">
        <v>2221</v>
      </c>
    </row>
    <row r="2514">
      <c r="A2514" s="56" t="s">
        <v>2222</v>
      </c>
    </row>
    <row r="2515">
      <c r="A2515" s="56" t="s">
        <v>2386</v>
      </c>
    </row>
    <row r="2516">
      <c r="A2516" s="56" t="s">
        <v>2387</v>
      </c>
    </row>
    <row r="2517">
      <c r="A2517" s="56" t="s">
        <v>2226</v>
      </c>
    </row>
    <row r="2518">
      <c r="A2518" s="56" t="s">
        <v>2227</v>
      </c>
    </row>
    <row r="2519">
      <c r="A2519" s="56" t="s">
        <v>2388</v>
      </c>
    </row>
    <row r="2520">
      <c r="A2520" s="56" t="s">
        <v>2389</v>
      </c>
    </row>
    <row r="2521">
      <c r="A2521" s="56" t="s">
        <v>2390</v>
      </c>
    </row>
    <row r="2522">
      <c r="A2522" s="56" t="s">
        <v>2080</v>
      </c>
    </row>
    <row r="2523">
      <c r="A2523" s="56" t="s">
        <v>932</v>
      </c>
    </row>
    <row r="2525">
      <c r="A2525" s="56" t="s">
        <v>2392</v>
      </c>
    </row>
    <row r="2526">
      <c r="A2526" s="56" t="s">
        <v>2393</v>
      </c>
    </row>
    <row r="2527">
      <c r="A2527" s="56" t="s">
        <v>2394</v>
      </c>
    </row>
    <row r="2528">
      <c r="A2528" s="56" t="s">
        <v>2395</v>
      </c>
    </row>
    <row r="2529">
      <c r="A2529" s="56" t="s">
        <v>2396</v>
      </c>
    </row>
    <row r="2530">
      <c r="A2530" s="56" t="s">
        <v>2398</v>
      </c>
    </row>
    <row r="2531">
      <c r="A2531" s="56" t="s">
        <v>2399</v>
      </c>
    </row>
    <row r="2532">
      <c r="A2532" s="56" t="s">
        <v>2400</v>
      </c>
    </row>
    <row r="2533">
      <c r="A2533" s="56" t="s">
        <v>2401</v>
      </c>
    </row>
    <row r="2534">
      <c r="A2534" s="56" t="s">
        <v>932</v>
      </c>
    </row>
    <row r="2536">
      <c r="A2536" s="56" t="s">
        <v>1829</v>
      </c>
    </row>
    <row r="2537">
      <c r="A2537" s="56" t="s">
        <v>2404</v>
      </c>
    </row>
    <row r="2538">
      <c r="A2538" s="56" t="s">
        <v>1829</v>
      </c>
    </row>
    <row r="2539">
      <c r="A2539" s="56" t="s">
        <v>2405</v>
      </c>
    </row>
    <row r="2540">
      <c r="A2540" s="56" t="s">
        <v>2406</v>
      </c>
    </row>
    <row r="2541">
      <c r="A2541" s="56" t="s">
        <v>2407</v>
      </c>
    </row>
    <row r="2542">
      <c r="A2542" s="56" t="s">
        <v>2408</v>
      </c>
    </row>
    <row r="2543">
      <c r="A2543" s="56" t="s">
        <v>2410</v>
      </c>
    </row>
    <row r="2544">
      <c r="A2544" s="56" t="s">
        <v>2411</v>
      </c>
    </row>
    <row r="2545">
      <c r="A2545" s="56" t="s">
        <v>2412</v>
      </c>
    </row>
    <row r="2547">
      <c r="A2547" s="56" t="s">
        <v>2414</v>
      </c>
    </row>
    <row r="2548">
      <c r="A2548" s="56" t="s">
        <v>2415</v>
      </c>
    </row>
    <row r="2549">
      <c r="A2549" s="56" t="s">
        <v>2417</v>
      </c>
    </row>
    <row r="2550">
      <c r="A2550" s="56" t="s">
        <v>2418</v>
      </c>
    </row>
    <row r="2551">
      <c r="A2551" s="56" t="s">
        <v>2419</v>
      </c>
    </row>
    <row r="2552">
      <c r="A2552" s="56" t="s">
        <v>2421</v>
      </c>
    </row>
    <row r="2553">
      <c r="A2553" s="56" t="s">
        <v>932</v>
      </c>
    </row>
    <row r="2554">
      <c r="A2554" s="56" t="s">
        <v>2422</v>
      </c>
    </row>
    <row r="2555">
      <c r="A2555" s="56" t="s">
        <v>2423</v>
      </c>
    </row>
    <row r="2556">
      <c r="A2556" s="56" t="s">
        <v>2424</v>
      </c>
    </row>
    <row r="2557">
      <c r="A2557" s="56" t="s">
        <v>2425</v>
      </c>
    </row>
    <row r="2558">
      <c r="A2558" s="56" t="s">
        <v>2426</v>
      </c>
    </row>
    <row r="2559">
      <c r="A2559" s="56" t="s">
        <v>2427</v>
      </c>
    </row>
    <row r="2560">
      <c r="A2560" s="56" t="s">
        <v>2429</v>
      </c>
    </row>
    <row r="2561">
      <c r="A2561" s="56" t="s">
        <v>1874</v>
      </c>
    </row>
    <row r="2562">
      <c r="A2562" s="56" t="s">
        <v>932</v>
      </c>
    </row>
    <row r="2563">
      <c r="A2563" s="56" t="s">
        <v>2431</v>
      </c>
    </row>
    <row r="2564">
      <c r="A2564" s="56" t="s">
        <v>2432</v>
      </c>
    </row>
    <row r="2565">
      <c r="A2565" s="56" t="s">
        <v>2434</v>
      </c>
    </row>
    <row r="2566">
      <c r="A2566" s="56" t="s">
        <v>2435</v>
      </c>
    </row>
    <row r="2567">
      <c r="A2567" s="56" t="s">
        <v>2436</v>
      </c>
    </row>
    <row r="2568">
      <c r="A2568" s="56" t="s">
        <v>2438</v>
      </c>
    </row>
    <row r="2569">
      <c r="A2569" s="56" t="s">
        <v>932</v>
      </c>
    </row>
    <row r="2570">
      <c r="A2570" s="56" t="s">
        <v>2439</v>
      </c>
    </row>
    <row r="2571">
      <c r="A2571" s="56" t="s">
        <v>2440</v>
      </c>
    </row>
    <row r="2572">
      <c r="A2572" s="56" t="s">
        <v>2441</v>
      </c>
    </row>
    <row r="2573">
      <c r="A2573" s="56" t="s">
        <v>2442</v>
      </c>
    </row>
    <row r="2574">
      <c r="A2574" s="56" t="s">
        <v>2444</v>
      </c>
    </row>
    <row r="2575">
      <c r="A2575" s="56" t="s">
        <v>2445</v>
      </c>
    </row>
    <row r="2576">
      <c r="A2576" s="56" t="s">
        <v>2446</v>
      </c>
    </row>
    <row r="2577">
      <c r="A2577" s="56" t="s">
        <v>2447</v>
      </c>
    </row>
    <row r="2578">
      <c r="A2578" s="56" t="s">
        <v>2448</v>
      </c>
    </row>
    <row r="2579">
      <c r="A2579" s="56" t="s">
        <v>2449</v>
      </c>
    </row>
    <row r="2580">
      <c r="A2580" s="56" t="s">
        <v>2450</v>
      </c>
    </row>
    <row r="2581">
      <c r="A2581" s="56" t="s">
        <v>2452</v>
      </c>
    </row>
    <row r="2582">
      <c r="A2582" s="56" t="s">
        <v>2217</v>
      </c>
    </row>
    <row r="2583">
      <c r="A2583" s="56" t="s">
        <v>2081</v>
      </c>
    </row>
    <row r="2584">
      <c r="A2584" s="56" t="s">
        <v>2454</v>
      </c>
    </row>
    <row r="2585">
      <c r="A2585" s="56" t="s">
        <v>2455</v>
      </c>
    </row>
    <row r="2586">
      <c r="A2586" s="56" t="s">
        <v>2456</v>
      </c>
    </row>
    <row r="2587">
      <c r="A2587" s="56" t="s">
        <v>2457</v>
      </c>
    </row>
    <row r="2588">
      <c r="A2588" s="56" t="s">
        <v>2459</v>
      </c>
    </row>
    <row r="2589">
      <c r="A2589" s="56" t="s">
        <v>2460</v>
      </c>
    </row>
    <row r="2590">
      <c r="A2590" s="56" t="s">
        <v>2217</v>
      </c>
    </row>
    <row r="2591">
      <c r="A2591" s="56" t="s">
        <v>932</v>
      </c>
    </row>
    <row r="2592">
      <c r="A2592" s="56" t="s">
        <v>2462</v>
      </c>
    </row>
    <row r="2593">
      <c r="A2593" s="56" t="s">
        <v>2464</v>
      </c>
    </row>
    <row r="2594">
      <c r="A2594" s="56" t="s">
        <v>2465</v>
      </c>
    </row>
    <row r="2595">
      <c r="A2595" s="56" t="s">
        <v>2466</v>
      </c>
    </row>
    <row r="2596">
      <c r="A2596" s="56" t="s">
        <v>2468</v>
      </c>
    </row>
    <row r="2597">
      <c r="A2597" s="56" t="s">
        <v>2469</v>
      </c>
    </row>
    <row r="2598">
      <c r="A2598" s="56" t="s">
        <v>932</v>
      </c>
    </row>
    <row r="2599">
      <c r="A2599" s="56" t="s">
        <v>2471</v>
      </c>
    </row>
    <row r="2600">
      <c r="A2600" s="56" t="s">
        <v>2472</v>
      </c>
    </row>
    <row r="2601">
      <c r="A2601" s="56" t="s">
        <v>2473</v>
      </c>
    </row>
    <row r="2602">
      <c r="A2602" s="56" t="s">
        <v>2474</v>
      </c>
    </row>
    <row r="2603">
      <c r="A2603" s="56" t="s">
        <v>2475</v>
      </c>
    </row>
    <row r="2604">
      <c r="A2604" s="56" t="s">
        <v>2476</v>
      </c>
    </row>
    <row r="2605">
      <c r="A2605" s="56" t="s">
        <v>2477</v>
      </c>
    </row>
    <row r="2606">
      <c r="A2606" s="56" t="s">
        <v>2478</v>
      </c>
    </row>
    <row r="2607">
      <c r="A2607" s="56" t="s">
        <v>932</v>
      </c>
    </row>
    <row r="2608">
      <c r="A2608" s="56" t="s">
        <v>2480</v>
      </c>
    </row>
    <row r="2609">
      <c r="A2609" s="56" t="s">
        <v>2440</v>
      </c>
    </row>
    <row r="2610">
      <c r="A2610" s="56" t="s">
        <v>2482</v>
      </c>
    </row>
    <row r="2611">
      <c r="A2611" s="56" t="s">
        <v>2483</v>
      </c>
    </row>
    <row r="2612">
      <c r="A2612" s="56" t="s">
        <v>2484</v>
      </c>
    </row>
    <row r="2613">
      <c r="A2613" s="56" t="s">
        <v>2486</v>
      </c>
    </row>
    <row r="2614">
      <c r="A2614" s="56" t="s">
        <v>932</v>
      </c>
    </row>
    <row r="2615">
      <c r="A2615" s="56" t="s">
        <v>2487</v>
      </c>
    </row>
    <row r="2616">
      <c r="A2616" s="56" t="s">
        <v>2488</v>
      </c>
    </row>
    <row r="2617">
      <c r="A2617" s="56" t="s">
        <v>2490</v>
      </c>
    </row>
    <row r="2618">
      <c r="A2618" s="56" t="s">
        <v>2491</v>
      </c>
    </row>
    <row r="2619">
      <c r="A2619" s="56" t="s">
        <v>932</v>
      </c>
    </row>
    <row r="2620">
      <c r="A2620" s="56" t="s">
        <v>2492</v>
      </c>
    </row>
    <row r="2621">
      <c r="A2621" s="56" t="s">
        <v>2493</v>
      </c>
    </row>
    <row r="2622">
      <c r="A2622" s="56" t="s">
        <v>2494</v>
      </c>
    </row>
    <row r="2623">
      <c r="A2623" s="56" t="s">
        <v>2495</v>
      </c>
    </row>
    <row r="2624">
      <c r="A2624" s="56" t="s">
        <v>2497</v>
      </c>
    </row>
    <row r="2625">
      <c r="A2625" s="56" t="s">
        <v>2499</v>
      </c>
    </row>
    <row r="2626">
      <c r="A2626" s="56" t="s">
        <v>2501</v>
      </c>
    </row>
    <row r="2627">
      <c r="A2627" s="56" t="s">
        <v>2503</v>
      </c>
    </row>
    <row r="2628">
      <c r="A2628" s="56" t="s">
        <v>2504</v>
      </c>
    </row>
    <row r="2629">
      <c r="A2629" s="56" t="s">
        <v>2505</v>
      </c>
    </row>
    <row r="2630">
      <c r="A2630" s="56" t="s">
        <v>2507</v>
      </c>
    </row>
    <row r="2631">
      <c r="A2631" s="56" t="s">
        <v>932</v>
      </c>
    </row>
    <row r="2632">
      <c r="A2632" s="56" t="s">
        <v>2509</v>
      </c>
    </row>
    <row r="2633">
      <c r="A2633" s="56" t="s">
        <v>2510</v>
      </c>
    </row>
    <row r="2634">
      <c r="A2634" s="56" t="s">
        <v>1929</v>
      </c>
    </row>
    <row r="2635">
      <c r="A2635" s="56" t="s">
        <v>2110</v>
      </c>
    </row>
    <row r="2636">
      <c r="A2636" s="56" t="s">
        <v>2513</v>
      </c>
    </row>
    <row r="2637">
      <c r="A2637" s="56" t="s">
        <v>2514</v>
      </c>
    </row>
    <row r="2638">
      <c r="A2638" s="56" t="s">
        <v>2516</v>
      </c>
    </row>
    <row r="2639">
      <c r="A2639" s="56" t="s">
        <v>2518</v>
      </c>
    </row>
    <row r="2640">
      <c r="A2640" s="56" t="s">
        <v>2419</v>
      </c>
    </row>
    <row r="2641">
      <c r="A2641" s="56" t="s">
        <v>2520</v>
      </c>
    </row>
    <row r="2642">
      <c r="A2642" s="56" t="s">
        <v>1946</v>
      </c>
    </row>
    <row r="2643">
      <c r="A2643" s="56" t="s">
        <v>2521</v>
      </c>
    </row>
    <row r="2644">
      <c r="A2644" s="56" t="s">
        <v>2523</v>
      </c>
    </row>
    <row r="2645">
      <c r="A2645" s="56" t="s">
        <v>932</v>
      </c>
    </row>
    <row r="2646">
      <c r="A2646" s="56" t="s">
        <v>2526</v>
      </c>
    </row>
    <row r="2648">
      <c r="A2648" s="56" t="s">
        <v>1829</v>
      </c>
    </row>
    <row r="2649">
      <c r="A2649" s="56" t="s">
        <v>2528</v>
      </c>
    </row>
    <row r="2650">
      <c r="A2650" s="56" t="s">
        <v>1829</v>
      </c>
    </row>
    <row r="2651">
      <c r="A2651" s="56" t="s">
        <v>2530</v>
      </c>
    </row>
    <row r="2652">
      <c r="A2652" s="56" t="s">
        <v>2531</v>
      </c>
    </row>
    <row r="2653">
      <c r="A2653" s="56" t="s">
        <v>2533</v>
      </c>
    </row>
    <row r="2654">
      <c r="A2654" s="56" t="s">
        <v>2535</v>
      </c>
    </row>
    <row r="2655">
      <c r="A2655" s="56" t="s">
        <v>2536</v>
      </c>
    </row>
    <row r="2656">
      <c r="A2656" s="56" t="s">
        <v>932</v>
      </c>
    </row>
    <row r="2657">
      <c r="A2657" s="56" t="s">
        <v>2538</v>
      </c>
    </row>
    <row r="2658">
      <c r="A2658" s="56" t="s">
        <v>2539</v>
      </c>
    </row>
    <row r="2659">
      <c r="A2659" s="56" t="s">
        <v>2540</v>
      </c>
    </row>
    <row r="2660">
      <c r="A2660" s="56" t="s">
        <v>932</v>
      </c>
    </row>
    <row r="2661">
      <c r="A2661" s="56" t="s">
        <v>932</v>
      </c>
    </row>
    <row r="2662">
      <c r="A2662" s="56" t="s">
        <v>2542</v>
      </c>
    </row>
    <row r="2663">
      <c r="A2663" s="56" t="s">
        <v>2544</v>
      </c>
    </row>
    <row r="2664">
      <c r="A2664" s="56" t="s">
        <v>2545</v>
      </c>
    </row>
    <row r="2665">
      <c r="A2665" s="56" t="s">
        <v>2546</v>
      </c>
    </row>
    <row r="2666">
      <c r="A2666" s="56" t="s">
        <v>2547</v>
      </c>
    </row>
    <row r="2667">
      <c r="A2667" s="56" t="s">
        <v>932</v>
      </c>
    </row>
    <row r="2668">
      <c r="A2668" s="56" t="s">
        <v>2550</v>
      </c>
    </row>
    <row r="2669">
      <c r="A2669" s="56" t="s">
        <v>2551</v>
      </c>
    </row>
    <row r="2670">
      <c r="A2670" s="56" t="s">
        <v>2552</v>
      </c>
    </row>
    <row r="2671">
      <c r="A2671" s="56" t="s">
        <v>2554</v>
      </c>
    </row>
    <row r="2672">
      <c r="A2672" s="56" t="s">
        <v>2488</v>
      </c>
    </row>
    <row r="2673">
      <c r="A2673" s="56" t="s">
        <v>2555</v>
      </c>
    </row>
    <row r="2674">
      <c r="A2674" s="56" t="s">
        <v>2556</v>
      </c>
    </row>
    <row r="2675">
      <c r="A2675" s="56" t="s">
        <v>2557</v>
      </c>
    </row>
    <row r="2676">
      <c r="A2676" s="56" t="s">
        <v>2559</v>
      </c>
    </row>
    <row r="2677">
      <c r="A2677" s="56" t="s">
        <v>2561</v>
      </c>
    </row>
    <row r="2678">
      <c r="A2678" s="56" t="s">
        <v>932</v>
      </c>
    </row>
    <row r="2679">
      <c r="A2679" s="56" t="s">
        <v>2562</v>
      </c>
    </row>
    <row r="2680">
      <c r="A2680" s="56" t="s">
        <v>2564</v>
      </c>
    </row>
    <row r="2681">
      <c r="A2681" s="56" t="s">
        <v>2566</v>
      </c>
    </row>
    <row r="2682">
      <c r="A2682" s="56" t="s">
        <v>2567</v>
      </c>
    </row>
    <row r="2683">
      <c r="A2683" s="56" t="s">
        <v>2568</v>
      </c>
    </row>
    <row r="2684">
      <c r="A2684" s="56" t="s">
        <v>2547</v>
      </c>
    </row>
    <row r="2685">
      <c r="A2685" s="56" t="s">
        <v>932</v>
      </c>
    </row>
    <row r="2686">
      <c r="A2686" s="56" t="s">
        <v>2569</v>
      </c>
    </row>
    <row r="2687">
      <c r="A2687" s="56" t="s">
        <v>2552</v>
      </c>
    </row>
    <row r="2688">
      <c r="A2688" s="56" t="s">
        <v>2554</v>
      </c>
    </row>
    <row r="2689">
      <c r="A2689" s="56" t="s">
        <v>2572</v>
      </c>
    </row>
    <row r="2690">
      <c r="A2690" s="56" t="s">
        <v>2573</v>
      </c>
    </row>
    <row r="2691">
      <c r="A2691" s="56" t="s">
        <v>2575</v>
      </c>
    </row>
    <row r="2693">
      <c r="A2693" s="56" t="s">
        <v>2576</v>
      </c>
    </row>
    <row r="2694">
      <c r="A2694" s="56" t="s">
        <v>2577</v>
      </c>
    </row>
    <row r="2696">
      <c r="A2696" s="56" t="s">
        <v>1929</v>
      </c>
    </row>
    <row r="2697">
      <c r="A2697" s="56" t="s">
        <v>2110</v>
      </c>
    </row>
    <row r="2698">
      <c r="A2698" s="56" t="s">
        <v>2579</v>
      </c>
    </row>
    <row r="2699">
      <c r="A2699" s="56" t="s">
        <v>2580</v>
      </c>
    </row>
    <row r="2700">
      <c r="A2700" s="56" t="s">
        <v>2582</v>
      </c>
    </row>
    <row r="2701">
      <c r="A2701" s="56" t="s">
        <v>1946</v>
      </c>
    </row>
    <row r="2702">
      <c r="A2702" s="56" t="s">
        <v>2584</v>
      </c>
    </row>
    <row r="2703">
      <c r="A2703" s="56" t="s">
        <v>2585</v>
      </c>
    </row>
    <row r="2704">
      <c r="A2704" s="56" t="s">
        <v>932</v>
      </c>
    </row>
    <row r="2706">
      <c r="A2706" s="56" t="s">
        <v>1829</v>
      </c>
    </row>
    <row r="2707">
      <c r="A2707" s="56" t="s">
        <v>2586</v>
      </c>
    </row>
    <row r="2708">
      <c r="A2708" s="56" t="s">
        <v>1829</v>
      </c>
    </row>
    <row r="2709">
      <c r="A2709" s="56" t="s">
        <v>2588</v>
      </c>
    </row>
    <row r="2710">
      <c r="A2710" s="56" t="s">
        <v>2590</v>
      </c>
    </row>
    <row r="2711">
      <c r="A2711" s="56" t="s">
        <v>1929</v>
      </c>
    </row>
    <row r="2712">
      <c r="A2712" s="56" t="s">
        <v>2591</v>
      </c>
    </row>
    <row r="2713">
      <c r="A2713" s="56" t="s">
        <v>2593</v>
      </c>
    </row>
    <row r="2714">
      <c r="A2714" s="56" t="s">
        <v>4168</v>
      </c>
    </row>
    <row r="2715">
      <c r="A2715" s="56" t="s">
        <v>2595</v>
      </c>
    </row>
    <row r="2716">
      <c r="A2716" s="56" t="s">
        <v>2596</v>
      </c>
    </row>
    <row r="2717">
      <c r="A2717" s="56" t="s">
        <v>2597</v>
      </c>
    </row>
    <row r="2718">
      <c r="A2718" s="56" t="s">
        <v>2598</v>
      </c>
    </row>
    <row r="2719">
      <c r="A2719" s="56" t="s">
        <v>2599</v>
      </c>
    </row>
    <row r="2720">
      <c r="A2720" s="56" t="s">
        <v>2601</v>
      </c>
    </row>
    <row r="2721">
      <c r="A2721" s="56" t="s">
        <v>2602</v>
      </c>
    </row>
    <row r="2722">
      <c r="A2722" s="56" t="s">
        <v>2603</v>
      </c>
    </row>
    <row r="2723">
      <c r="A2723" s="56" t="s">
        <v>2604</v>
      </c>
    </row>
    <row r="2724">
      <c r="A2724" s="56" t="s">
        <v>2605</v>
      </c>
    </row>
    <row r="2725">
      <c r="A2725" s="56" t="s">
        <v>1946</v>
      </c>
    </row>
    <row r="2726">
      <c r="A2726" s="56" t="s">
        <v>2606</v>
      </c>
    </row>
    <row r="2727">
      <c r="A2727" s="56" t="s">
        <v>2608</v>
      </c>
    </row>
    <row r="2728">
      <c r="A2728" s="56" t="s">
        <v>932</v>
      </c>
    </row>
    <row r="2730">
      <c r="A2730" s="56" t="s">
        <v>1829</v>
      </c>
    </row>
    <row r="2731">
      <c r="A2731" s="56" t="s">
        <v>2609</v>
      </c>
    </row>
    <row r="2732">
      <c r="A2732" s="56" t="s">
        <v>1829</v>
      </c>
    </row>
    <row r="2733">
      <c r="A2733" s="56" t="s">
        <v>2611</v>
      </c>
    </row>
    <row r="2734">
      <c r="A2734" s="56" t="s">
        <v>1929</v>
      </c>
    </row>
    <row r="2735">
      <c r="A2735" s="56" t="s">
        <v>2612</v>
      </c>
    </row>
    <row r="2736">
      <c r="A2736" s="56" t="s">
        <v>2613</v>
      </c>
    </row>
    <row r="2737">
      <c r="A2737" s="56" t="s">
        <v>2614</v>
      </c>
    </row>
    <row r="2738">
      <c r="A2738" s="56" t="s">
        <v>2615</v>
      </c>
    </row>
    <row r="2739">
      <c r="A2739" s="56" t="s">
        <v>1946</v>
      </c>
    </row>
    <row r="2740">
      <c r="A2740" s="56" t="s">
        <v>2617</v>
      </c>
    </row>
    <row r="2741">
      <c r="A2741" s="56" t="s">
        <v>932</v>
      </c>
    </row>
    <row r="2742">
      <c r="A2742" s="56" t="s">
        <v>2618</v>
      </c>
    </row>
    <row r="2743">
      <c r="A2743" s="56" t="s">
        <v>2619</v>
      </c>
    </row>
    <row r="2744">
      <c r="A2744" s="56" t="s">
        <v>2620</v>
      </c>
    </row>
    <row r="2745">
      <c r="A2745" s="56" t="s">
        <v>2621</v>
      </c>
    </row>
    <row r="2746">
      <c r="A2746" s="56" t="s">
        <v>2623</v>
      </c>
    </row>
    <row r="2747">
      <c r="A2747" s="56" t="s">
        <v>2624</v>
      </c>
    </row>
    <row r="2748">
      <c r="A2748" s="56" t="s">
        <v>2625</v>
      </c>
    </row>
    <row r="2749">
      <c r="A2749" s="56" t="s">
        <v>932</v>
      </c>
    </row>
    <row r="2750">
      <c r="A2750" s="56" t="s">
        <v>2626</v>
      </c>
    </row>
    <row r="2751">
      <c r="A2751" s="56" t="s">
        <v>2627</v>
      </c>
    </row>
    <row r="2752">
      <c r="A2752" s="56" t="s">
        <v>2628</v>
      </c>
    </row>
    <row r="2754">
      <c r="A2754" s="56" t="s">
        <v>2630</v>
      </c>
    </row>
    <row r="2755">
      <c r="A2755" s="56" t="s">
        <v>2631</v>
      </c>
    </row>
    <row r="2756">
      <c r="A2756" s="56" t="s">
        <v>2632</v>
      </c>
    </row>
    <row r="2757">
      <c r="A2757" s="56" t="s">
        <v>2633</v>
      </c>
    </row>
    <row r="2758">
      <c r="A2758" s="56" t="s">
        <v>2634</v>
      </c>
    </row>
    <row r="2759">
      <c r="A2759" s="56" t="s">
        <v>2636</v>
      </c>
    </row>
    <row r="2761">
      <c r="A2761" s="56" t="s">
        <v>2637</v>
      </c>
    </row>
    <row r="2762">
      <c r="A2762" s="56" t="s">
        <v>2639</v>
      </c>
    </row>
    <row r="2763">
      <c r="A2763" s="56" t="s">
        <v>2640</v>
      </c>
    </row>
    <row r="2764">
      <c r="A2764" s="56" t="s">
        <v>2641</v>
      </c>
    </row>
    <row r="2765">
      <c r="A2765" s="56" t="s">
        <v>2643</v>
      </c>
    </row>
    <row r="2766">
      <c r="A2766" s="56" t="s">
        <v>2644</v>
      </c>
    </row>
    <row r="2767">
      <c r="A2767" s="56" t="s">
        <v>1910</v>
      </c>
    </row>
    <row r="2768">
      <c r="A2768" s="56" t="s">
        <v>932</v>
      </c>
    </row>
    <row r="2769">
      <c r="A2769" s="56" t="s">
        <v>2646</v>
      </c>
    </row>
    <row r="2770">
      <c r="A2770" s="56" t="s">
        <v>2647</v>
      </c>
    </row>
    <row r="2771">
      <c r="A2771" s="56" t="s">
        <v>2649</v>
      </c>
    </row>
    <row r="2772">
      <c r="A2772" s="56" t="s">
        <v>2650</v>
      </c>
    </row>
    <row r="2773">
      <c r="A2773" s="56" t="s">
        <v>2651</v>
      </c>
    </row>
    <row r="2774">
      <c r="A2774" s="56" t="s">
        <v>2652</v>
      </c>
    </row>
    <row r="2775">
      <c r="A2775" s="56" t="s">
        <v>1910</v>
      </c>
    </row>
    <row r="2777">
      <c r="A2777" s="56" t="s">
        <v>4169</v>
      </c>
    </row>
    <row r="2779">
      <c r="A2779" s="56" t="s">
        <v>2654</v>
      </c>
    </row>
    <row r="2780">
      <c r="A2780" s="56" t="s">
        <v>2655</v>
      </c>
    </row>
    <row r="2781">
      <c r="A2781" s="56" t="s">
        <v>2656</v>
      </c>
    </row>
    <row r="2782">
      <c r="A2782" s="56" t="s">
        <v>2657</v>
      </c>
    </row>
    <row r="2783">
      <c r="A2783" s="56" t="s">
        <v>2659</v>
      </c>
    </row>
    <row r="2784">
      <c r="A2784" s="56" t="s">
        <v>2661</v>
      </c>
    </row>
    <row r="2785">
      <c r="A2785" s="56" t="s">
        <v>2663</v>
      </c>
    </row>
    <row r="2786">
      <c r="A2786" s="56" t="s">
        <v>2665</v>
      </c>
    </row>
    <row r="2787">
      <c r="A2787" s="56" t="s">
        <v>2667</v>
      </c>
    </row>
    <row r="2789">
      <c r="A2789" s="56" t="s">
        <v>2668</v>
      </c>
    </row>
    <row r="2790">
      <c r="A2790" s="56" t="s">
        <v>2669</v>
      </c>
    </row>
    <row r="2791">
      <c r="A2791" s="56" t="s">
        <v>2186</v>
      </c>
    </row>
    <row r="2792">
      <c r="A2792" s="56" t="s">
        <v>2670</v>
      </c>
    </row>
    <row r="2793">
      <c r="A2793" s="56" t="s">
        <v>2671</v>
      </c>
    </row>
    <row r="2794">
      <c r="A2794" s="56" t="s">
        <v>2005</v>
      </c>
    </row>
    <row r="2795">
      <c r="A2795" s="56" t="s">
        <v>932</v>
      </c>
    </row>
    <row r="2797">
      <c r="A2797" s="56" t="s">
        <v>2674</v>
      </c>
    </row>
    <row r="2799">
      <c r="A2799" s="56" t="s">
        <v>4170</v>
      </c>
    </row>
    <row r="2800">
      <c r="A2800" s="69" t="str">
        <f>+'&lt;th style="width:60px;"&gt;&lt;/th&gt;'</f>
        <v>#ERROR!</v>
      </c>
    </row>
    <row r="2801">
      <c r="A2801" s="69" t="str">
        <f>+'&lt;th&gt;SKU Identity&lt;/th&gt;'</f>
        <v>#ERROR!</v>
      </c>
    </row>
    <row r="2802">
      <c r="A2802" s="69" t="str">
        <f>+'&lt;th style="text-align:right;"&gt;Manufactured&lt;/th&gt;'</f>
        <v>#ERROR!</v>
      </c>
    </row>
    <row r="2803">
      <c r="A2803" s="69" t="str">
        <f>+'&lt;th style="text-align:right;"&gt;Sold&lt;/th&gt;'</f>
        <v>#ERROR!</v>
      </c>
    </row>
    <row r="2804">
      <c r="A2804" s="69" t="str">
        <f>+'&lt;th style="text-align:right;"&gt;In Hand&lt;/th&gt;'</f>
        <v>#ERROR!</v>
      </c>
    </row>
    <row r="2805">
      <c r="A2805" s="69" t="str">
        <f>+'&lt;th style="width:200px;"&gt;Sell-Through Rate&lt;/th&gt;'</f>
        <v>#ERROR!</v>
      </c>
    </row>
    <row r="2806">
      <c r="A2806" s="69" t="str">
        <f>+'&lt;/tr&gt;&lt;/thead&gt;&lt;tbody&gt;';</f>
        <v>#ERROR!</v>
      </c>
    </row>
    <row r="2808">
      <c r="A2808" s="56" t="s">
        <v>2198</v>
      </c>
    </row>
    <row r="2809">
      <c r="A2809" s="56" t="s">
        <v>2682</v>
      </c>
    </row>
    <row r="2810">
      <c r="A2810" s="56" t="s">
        <v>2683</v>
      </c>
    </row>
    <row r="2811">
      <c r="A2811" s="56" t="s">
        <v>2684</v>
      </c>
    </row>
    <row r="2812">
      <c r="A2812" s="56" t="s">
        <v>2686</v>
      </c>
    </row>
    <row r="2814">
      <c r="A2814" s="56" t="s">
        <v>2689</v>
      </c>
    </row>
    <row r="2815">
      <c r="A2815" s="56" t="s">
        <v>2691</v>
      </c>
    </row>
    <row r="2816">
      <c r="A2816" s="56" t="s">
        <v>2692</v>
      </c>
    </row>
    <row r="2818">
      <c r="A2818" s="56" t="s">
        <v>2694</v>
      </c>
    </row>
    <row r="2819">
      <c r="A2819" s="56" t="s">
        <v>2696</v>
      </c>
    </row>
    <row r="2820">
      <c r="A2820" s="56" t="s">
        <v>2698</v>
      </c>
    </row>
    <row r="2822">
      <c r="A2822" s="56" t="s">
        <v>2700</v>
      </c>
    </row>
    <row r="2823">
      <c r="A2823" s="56" t="s">
        <v>2701</v>
      </c>
    </row>
    <row r="2824">
      <c r="A2824" s="56" t="s">
        <v>2703</v>
      </c>
    </row>
    <row r="2825">
      <c r="A2825" s="56" t="s">
        <v>2705</v>
      </c>
    </row>
    <row r="2826">
      <c r="A2826" s="56" t="s">
        <v>2707</v>
      </c>
    </row>
    <row r="2827">
      <c r="A2827" s="56" t="s">
        <v>2709</v>
      </c>
    </row>
    <row r="2828">
      <c r="A2828" s="56" t="s">
        <v>2710</v>
      </c>
    </row>
    <row r="2829">
      <c r="A2829" s="56" t="s">
        <v>2711</v>
      </c>
    </row>
    <row r="2830">
      <c r="A2830" s="56" t="s">
        <v>2713</v>
      </c>
    </row>
    <row r="2831">
      <c r="A2831" s="56" t="s">
        <v>2715</v>
      </c>
    </row>
    <row r="2832">
      <c r="A2832" s="56" t="s">
        <v>1431</v>
      </c>
    </row>
    <row r="2833">
      <c r="A2833" s="56" t="s">
        <v>2716</v>
      </c>
    </row>
    <row r="2834">
      <c r="A2834" s="56" t="s">
        <v>2717</v>
      </c>
    </row>
    <row r="2835">
      <c r="A2835" s="56" t="s">
        <v>2217</v>
      </c>
    </row>
    <row r="2836">
      <c r="A2836" s="56" t="s">
        <v>932</v>
      </c>
    </row>
    <row r="2837">
      <c r="A2837" s="56" t="s">
        <v>2720</v>
      </c>
    </row>
    <row r="2838">
      <c r="A2838" s="56" t="s">
        <v>2722</v>
      </c>
    </row>
    <row r="2840">
      <c r="A2840" s="56" t="s">
        <v>2723</v>
      </c>
    </row>
    <row r="2841">
      <c r="A2841" s="56" t="s">
        <v>2724</v>
      </c>
    </row>
    <row r="2842">
      <c r="A2842" s="56" t="s">
        <v>2317</v>
      </c>
    </row>
    <row r="2843">
      <c r="A2843" s="56" t="s">
        <v>2726</v>
      </c>
    </row>
    <row r="2844">
      <c r="A2844" s="56" t="s">
        <v>2727</v>
      </c>
    </row>
    <row r="2845">
      <c r="A2845" s="56" t="s">
        <v>2729</v>
      </c>
    </row>
    <row r="2846">
      <c r="A2846" s="56" t="s">
        <v>2730</v>
      </c>
    </row>
    <row r="2847">
      <c r="A2847" s="56" t="s">
        <v>2731</v>
      </c>
    </row>
    <row r="2848">
      <c r="A2848" s="56" t="s">
        <v>2732</v>
      </c>
    </row>
    <row r="2849">
      <c r="A2849" s="56" t="s">
        <v>932</v>
      </c>
    </row>
    <row r="2850">
      <c r="A2850" s="56" t="s">
        <v>2733</v>
      </c>
    </row>
    <row r="2851">
      <c r="A2851" s="56" t="s">
        <v>2734</v>
      </c>
    </row>
    <row r="2852">
      <c r="A2852" s="56" t="s">
        <v>2736</v>
      </c>
    </row>
    <row r="2853">
      <c r="A2853" s="56" t="s">
        <v>2737</v>
      </c>
    </row>
    <row r="2854">
      <c r="A2854" s="56" t="s">
        <v>2738</v>
      </c>
    </row>
    <row r="2855">
      <c r="A2855" s="56" t="s">
        <v>932</v>
      </c>
    </row>
    <row r="2856">
      <c r="A2856" s="56" t="s">
        <v>2739</v>
      </c>
    </row>
    <row r="2857">
      <c r="A2857" s="56" t="s">
        <v>2227</v>
      </c>
    </row>
    <row r="2858">
      <c r="A2858" s="56" t="s">
        <v>2740</v>
      </c>
    </row>
    <row r="2859">
      <c r="A2859" s="56" t="s">
        <v>2742</v>
      </c>
    </row>
    <row r="2860">
      <c r="A2860" s="56" t="s">
        <v>2743</v>
      </c>
    </row>
    <row r="2861">
      <c r="A2861" s="56" t="s">
        <v>2080</v>
      </c>
    </row>
    <row r="2862">
      <c r="A2862" s="56" t="s">
        <v>932</v>
      </c>
    </row>
    <row r="2863">
      <c r="A2863" s="56" t="s">
        <v>932</v>
      </c>
    </row>
    <row r="2864">
      <c r="A2864" s="56" t="s">
        <v>2745</v>
      </c>
    </row>
    <row r="2865">
      <c r="A2865" s="56" t="s">
        <v>2746</v>
      </c>
    </row>
    <row r="2866">
      <c r="A2866" s="56" t="s">
        <v>932</v>
      </c>
    </row>
    <row r="2868">
      <c r="A2868" s="56" t="s">
        <v>1829</v>
      </c>
    </row>
    <row r="2869">
      <c r="A2869" s="56" t="s">
        <v>4171</v>
      </c>
    </row>
    <row r="2870">
      <c r="A2870" s="56" t="s">
        <v>1829</v>
      </c>
    </row>
    <row r="2871">
      <c r="A2871" s="56" t="s">
        <v>4172</v>
      </c>
    </row>
    <row r="2872">
      <c r="A2872" s="56" t="s">
        <v>4173</v>
      </c>
    </row>
    <row r="2873">
      <c r="A2873" s="56" t="s">
        <v>4174</v>
      </c>
    </row>
    <row r="2874">
      <c r="A2874" s="56" t="s">
        <v>2005</v>
      </c>
    </row>
    <row r="2875">
      <c r="A2875" s="56" t="s">
        <v>932</v>
      </c>
    </row>
    <row r="2877">
      <c r="A2877" s="56" t="s">
        <v>4175</v>
      </c>
    </row>
    <row r="2878">
      <c r="A2878" s="56" t="s">
        <v>4176</v>
      </c>
    </row>
    <row r="2879">
      <c r="A2879" s="56" t="s">
        <v>4177</v>
      </c>
    </row>
    <row r="2880">
      <c r="A2880" s="56" t="s">
        <v>2005</v>
      </c>
    </row>
    <row r="2881">
      <c r="A2881" s="56" t="s">
        <v>932</v>
      </c>
    </row>
    <row r="2883">
      <c r="A2883" s="56" t="s">
        <v>4178</v>
      </c>
    </row>
    <row r="2884">
      <c r="A2884" s="56" t="s">
        <v>4179</v>
      </c>
    </row>
    <row r="2885">
      <c r="A2885" s="56" t="s">
        <v>4180</v>
      </c>
    </row>
    <row r="2887">
      <c r="A2887" s="56" t="s">
        <v>4181</v>
      </c>
    </row>
    <row r="2888">
      <c r="A2888" s="56" t="s">
        <v>4182</v>
      </c>
    </row>
    <row r="2889">
      <c r="A2889" s="56" t="s">
        <v>4183</v>
      </c>
    </row>
    <row r="2891">
      <c r="A2891" s="56" t="s">
        <v>4184</v>
      </c>
    </row>
    <row r="2892">
      <c r="A2892" s="56" t="s">
        <v>4185</v>
      </c>
    </row>
    <row r="2893">
      <c r="A2893" s="56" t="s">
        <v>4186</v>
      </c>
    </row>
    <row r="2895">
      <c r="A2895" s="56" t="s">
        <v>4187</v>
      </c>
    </row>
    <row r="2896">
      <c r="A2896" s="56" t="s">
        <v>4188</v>
      </c>
    </row>
    <row r="2897">
      <c r="A2897" s="56" t="s">
        <v>4189</v>
      </c>
    </row>
    <row r="2898">
      <c r="A2898" s="56" t="s">
        <v>4190</v>
      </c>
    </row>
    <row r="2900">
      <c r="A2900" s="56" t="s">
        <v>4191</v>
      </c>
    </row>
    <row r="2901">
      <c r="A2901" s="56" t="s">
        <v>4192</v>
      </c>
    </row>
    <row r="2902">
      <c r="A2902" s="56" t="s">
        <v>4193</v>
      </c>
    </row>
    <row r="2903">
      <c r="A2903" s="56" t="s">
        <v>4194</v>
      </c>
    </row>
    <row r="2904">
      <c r="A2904" s="56" t="s">
        <v>4195</v>
      </c>
    </row>
    <row r="2905">
      <c r="A2905" s="56" t="s">
        <v>4196</v>
      </c>
    </row>
    <row r="2906">
      <c r="A2906" s="56" t="s">
        <v>4197</v>
      </c>
    </row>
    <row r="2907">
      <c r="A2907" s="56" t="s">
        <v>4198</v>
      </c>
    </row>
    <row r="2908">
      <c r="A2908" s="56" t="s">
        <v>2967</v>
      </c>
    </row>
    <row r="2909">
      <c r="A2909" s="56" t="s">
        <v>1910</v>
      </c>
    </row>
    <row r="2911">
      <c r="A2911" s="56" t="s">
        <v>4199</v>
      </c>
    </row>
    <row r="2912">
      <c r="A2912" s="56" t="s">
        <v>4200</v>
      </c>
    </row>
    <row r="2913">
      <c r="A2913" s="56" t="s">
        <v>4201</v>
      </c>
    </row>
    <row r="2914">
      <c r="A2914" s="56" t="s">
        <v>4202</v>
      </c>
    </row>
    <row r="2915">
      <c r="A2915" s="56" t="s">
        <v>4203</v>
      </c>
    </row>
    <row r="2916">
      <c r="A2916" s="56" t="s">
        <v>4204</v>
      </c>
    </row>
    <row r="2917">
      <c r="A2917" s="56" t="s">
        <v>4205</v>
      </c>
    </row>
    <row r="2918">
      <c r="A2918" s="56" t="s">
        <v>4206</v>
      </c>
    </row>
    <row r="2919">
      <c r="A2919" s="56" t="s">
        <v>4207</v>
      </c>
    </row>
    <row r="2920">
      <c r="A2920" s="56" t="s">
        <v>4208</v>
      </c>
    </row>
    <row r="2921">
      <c r="A2921" s="56" t="s">
        <v>4209</v>
      </c>
    </row>
    <row r="2922">
      <c r="A2922" s="56" t="s">
        <v>4210</v>
      </c>
    </row>
    <row r="2923">
      <c r="A2923" s="56" t="s">
        <v>4211</v>
      </c>
    </row>
    <row r="2924">
      <c r="A2924" s="56" t="s">
        <v>4212</v>
      </c>
    </row>
    <row r="2925">
      <c r="A2925" s="56" t="s">
        <v>4213</v>
      </c>
    </row>
    <row r="2926">
      <c r="A2926" s="56" t="s">
        <v>4214</v>
      </c>
    </row>
    <row r="2927">
      <c r="A2927" s="56" t="s">
        <v>4215</v>
      </c>
    </row>
    <row r="2928">
      <c r="A2928" s="56" t="s">
        <v>4216</v>
      </c>
    </row>
    <row r="2929">
      <c r="A2929" s="56" t="s">
        <v>4217</v>
      </c>
    </row>
    <row r="2930">
      <c r="A2930" s="56" t="s">
        <v>4218</v>
      </c>
    </row>
    <row r="2931">
      <c r="A2931" s="56" t="s">
        <v>4219</v>
      </c>
    </row>
    <row r="2932">
      <c r="A2932" s="56" t="s">
        <v>932</v>
      </c>
    </row>
    <row r="2933">
      <c r="A2933" s="56" t="s">
        <v>1910</v>
      </c>
    </row>
    <row r="2935">
      <c r="A2935" s="56" t="s">
        <v>4220</v>
      </c>
    </row>
    <row r="2936">
      <c r="A2936" s="56" t="s">
        <v>932</v>
      </c>
    </row>
    <row r="2938">
      <c r="A2938" s="56" t="s">
        <v>4221</v>
      </c>
    </row>
    <row r="2939">
      <c r="A2939" s="56" t="s">
        <v>4173</v>
      </c>
    </row>
    <row r="2940">
      <c r="A2940" s="56" t="s">
        <v>4174</v>
      </c>
    </row>
    <row r="2941">
      <c r="A2941" s="56" t="s">
        <v>2005</v>
      </c>
    </row>
    <row r="2942">
      <c r="A2942" s="56" t="s">
        <v>932</v>
      </c>
    </row>
    <row r="2944">
      <c r="A2944" s="56" t="s">
        <v>4222</v>
      </c>
    </row>
    <row r="2945">
      <c r="A2945" s="56" t="s">
        <v>4223</v>
      </c>
    </row>
    <row r="2946">
      <c r="A2946" s="56" t="s">
        <v>4224</v>
      </c>
    </row>
    <row r="2947">
      <c r="A2947" s="56" t="s">
        <v>2005</v>
      </c>
    </row>
    <row r="2948">
      <c r="A2948" s="56" t="s">
        <v>932</v>
      </c>
    </row>
    <row r="2950">
      <c r="A2950" s="56" t="s">
        <v>4225</v>
      </c>
    </row>
    <row r="2951">
      <c r="A2951" s="56" t="s">
        <v>4226</v>
      </c>
    </row>
    <row r="2952">
      <c r="A2952" s="56" t="s">
        <v>4227</v>
      </c>
    </row>
    <row r="2953">
      <c r="A2953" s="56" t="s">
        <v>4228</v>
      </c>
    </row>
    <row r="2954">
      <c r="A2954" s="56" t="s">
        <v>4229</v>
      </c>
    </row>
    <row r="2955">
      <c r="A2955" s="56" t="s">
        <v>932</v>
      </c>
    </row>
    <row r="2956">
      <c r="A2956" s="56" t="s">
        <v>932</v>
      </c>
    </row>
    <row r="2958">
      <c r="A2958" s="56" t="s">
        <v>4230</v>
      </c>
    </row>
    <row r="2959">
      <c r="A2959" s="56" t="s">
        <v>4231</v>
      </c>
    </row>
    <row r="2960">
      <c r="A2960" s="56" t="s">
        <v>4232</v>
      </c>
    </row>
    <row r="2961">
      <c r="A2961" s="56" t="s">
        <v>2005</v>
      </c>
    </row>
    <row r="2962">
      <c r="A2962" s="56" t="s">
        <v>932</v>
      </c>
    </row>
    <row r="2964">
      <c r="A2964" s="56" t="s">
        <v>4233</v>
      </c>
    </row>
    <row r="2966">
      <c r="A2966" s="56" t="s">
        <v>4234</v>
      </c>
    </row>
    <row r="2967">
      <c r="A2967" s="56" t="s">
        <v>1929</v>
      </c>
    </row>
    <row r="2968">
      <c r="A2968" s="56" t="s">
        <v>4235</v>
      </c>
    </row>
    <row r="2969">
      <c r="A2969" s="56" t="s">
        <v>4236</v>
      </c>
    </row>
    <row r="2970">
      <c r="A2970" s="56" t="s">
        <v>4237</v>
      </c>
    </row>
    <row r="2971">
      <c r="A2971" s="56" t="s">
        <v>4238</v>
      </c>
    </row>
    <row r="2973">
      <c r="A2973" s="56" t="s">
        <v>4239</v>
      </c>
    </row>
    <row r="2974">
      <c r="A2974" s="56" t="s">
        <v>4232</v>
      </c>
    </row>
    <row r="2975">
      <c r="A2975" s="56" t="s">
        <v>2005</v>
      </c>
    </row>
    <row r="2976">
      <c r="A2976" s="56" t="s">
        <v>932</v>
      </c>
    </row>
    <row r="2978">
      <c r="A2978" s="56" t="s">
        <v>4240</v>
      </c>
    </row>
    <row r="2979">
      <c r="A2979" s="56" t="s">
        <v>4241</v>
      </c>
    </row>
    <row r="2980">
      <c r="A2980" s="56" t="s">
        <v>4242</v>
      </c>
    </row>
    <row r="2982">
      <c r="A2982" s="56" t="s">
        <v>4243</v>
      </c>
    </row>
    <row r="2983">
      <c r="A2983" s="56" t="s">
        <v>4244</v>
      </c>
    </row>
    <row r="2984">
      <c r="A2984" s="56" t="s">
        <v>1893</v>
      </c>
    </row>
    <row r="2985">
      <c r="A2985" s="56" t="s">
        <v>4245</v>
      </c>
    </row>
    <row r="2986">
      <c r="A2986" s="56" t="s">
        <v>4246</v>
      </c>
    </row>
    <row r="2987">
      <c r="A2987" s="56" t="s">
        <v>4247</v>
      </c>
    </row>
    <row r="2988">
      <c r="A2988" s="56" t="s">
        <v>4248</v>
      </c>
    </row>
    <row r="2989">
      <c r="A2989" s="56" t="s">
        <v>1895</v>
      </c>
    </row>
    <row r="2990">
      <c r="A2990" s="56" t="s">
        <v>4249</v>
      </c>
    </row>
    <row r="2991">
      <c r="A2991" s="56" t="s">
        <v>4250</v>
      </c>
    </row>
    <row r="2992">
      <c r="A2992" s="56" t="s">
        <v>4251</v>
      </c>
    </row>
    <row r="2993">
      <c r="A2993" s="56" t="s">
        <v>4252</v>
      </c>
    </row>
    <row r="2994">
      <c r="A2994" s="56" t="s">
        <v>4253</v>
      </c>
    </row>
    <row r="2995">
      <c r="A2995" s="56" t="s">
        <v>4254</v>
      </c>
    </row>
    <row r="2996">
      <c r="A2996" s="56" t="s">
        <v>4255</v>
      </c>
    </row>
    <row r="2997">
      <c r="A2997" s="56" t="s">
        <v>4256</v>
      </c>
    </row>
    <row r="2998">
      <c r="A2998" s="56" t="s">
        <v>4257</v>
      </c>
    </row>
    <row r="2999">
      <c r="A2999" s="56" t="s">
        <v>4258</v>
      </c>
    </row>
    <row r="3000">
      <c r="A3000" s="56" t="s">
        <v>1854</v>
      </c>
    </row>
    <row r="3001">
      <c r="A3001" s="56" t="s">
        <v>4259</v>
      </c>
    </row>
    <row r="3002">
      <c r="A3002" s="56" t="s">
        <v>4257</v>
      </c>
    </row>
    <row r="3003">
      <c r="A3003" s="56" t="s">
        <v>4258</v>
      </c>
    </row>
    <row r="3004">
      <c r="A3004" s="56" t="s">
        <v>1854</v>
      </c>
    </row>
    <row r="3005">
      <c r="A3005" s="56" t="s">
        <v>4260</v>
      </c>
    </row>
    <row r="3006">
      <c r="A3006" s="56" t="s">
        <v>4261</v>
      </c>
    </row>
    <row r="3007">
      <c r="A3007" s="56" t="s">
        <v>932</v>
      </c>
    </row>
    <row r="3009">
      <c r="A3009" s="56" t="s">
        <v>4262</v>
      </c>
    </row>
    <row r="3010">
      <c r="A3010" s="56" t="s">
        <v>4263</v>
      </c>
    </row>
    <row r="3011">
      <c r="A3011" s="56" t="s">
        <v>4264</v>
      </c>
    </row>
    <row r="3012">
      <c r="A3012" s="56" t="s">
        <v>4265</v>
      </c>
    </row>
    <row r="3013">
      <c r="A3013" s="56" t="s">
        <v>1946</v>
      </c>
    </row>
    <row r="3014">
      <c r="A3014" s="56" t="s">
        <v>4266</v>
      </c>
    </row>
    <row r="3015">
      <c r="A3015" s="56" t="s">
        <v>4267</v>
      </c>
    </row>
    <row r="3016">
      <c r="A3016" s="56" t="s">
        <v>4232</v>
      </c>
    </row>
    <row r="3017">
      <c r="A3017" s="56" t="s">
        <v>1946</v>
      </c>
    </row>
    <row r="3018">
      <c r="A3018" s="56" t="s">
        <v>4268</v>
      </c>
    </row>
    <row r="3019">
      <c r="A3019" s="56" t="s">
        <v>932</v>
      </c>
    </row>
    <row r="3021">
      <c r="A3021" s="56" t="s">
        <v>4269</v>
      </c>
    </row>
    <row r="3022">
      <c r="A3022" s="56" t="s">
        <v>4270</v>
      </c>
    </row>
    <row r="3023">
      <c r="A3023" s="56" t="s">
        <v>4271</v>
      </c>
    </row>
    <row r="3024">
      <c r="A3024" s="56" t="s">
        <v>4272</v>
      </c>
    </row>
    <row r="3025">
      <c r="A3025" s="56" t="s">
        <v>4273</v>
      </c>
    </row>
    <row r="3027">
      <c r="A3027" s="56" t="s">
        <v>4274</v>
      </c>
    </row>
    <row r="3028">
      <c r="A3028" s="56" t="s">
        <v>4275</v>
      </c>
    </row>
    <row r="3029">
      <c r="A3029" s="56" t="s">
        <v>4276</v>
      </c>
    </row>
    <row r="3030">
      <c r="A3030" s="56" t="s">
        <v>4277</v>
      </c>
    </row>
    <row r="3032">
      <c r="A3032" s="56" t="s">
        <v>4184</v>
      </c>
    </row>
    <row r="3033">
      <c r="A3033" s="56" t="s">
        <v>4278</v>
      </c>
    </row>
    <row r="3034">
      <c r="A3034" s="56" t="s">
        <v>4279</v>
      </c>
    </row>
    <row r="3036">
      <c r="A3036" s="56" t="s">
        <v>4280</v>
      </c>
    </row>
    <row r="3037">
      <c r="A3037" s="56" t="s">
        <v>4281</v>
      </c>
    </row>
    <row r="3038">
      <c r="A3038" s="56" t="s">
        <v>4227</v>
      </c>
    </row>
    <row r="3039">
      <c r="A3039" s="56" t="s">
        <v>4282</v>
      </c>
    </row>
    <row r="3040">
      <c r="A3040" s="56" t="s">
        <v>4283</v>
      </c>
    </row>
    <row r="3041">
      <c r="A3041" s="56" t="s">
        <v>4284</v>
      </c>
    </row>
    <row r="3042">
      <c r="A3042" s="56" t="s">
        <v>932</v>
      </c>
    </row>
    <row r="3043">
      <c r="A3043" s="56" t="s">
        <v>4285</v>
      </c>
    </row>
    <row r="3044">
      <c r="A3044" s="56" t="s">
        <v>4286</v>
      </c>
    </row>
    <row r="3045">
      <c r="A3045" s="56" t="s">
        <v>4287</v>
      </c>
    </row>
    <row r="3047">
      <c r="A3047" s="56" t="s">
        <v>4288</v>
      </c>
    </row>
    <row r="3048">
      <c r="A3048" s="56" t="s">
        <v>4289</v>
      </c>
    </row>
    <row r="3049">
      <c r="A3049" s="56" t="s">
        <v>4290</v>
      </c>
    </row>
    <row r="3050">
      <c r="A3050" s="56" t="s">
        <v>4291</v>
      </c>
    </row>
    <row r="3052">
      <c r="A3052" s="56" t="s">
        <v>4292</v>
      </c>
    </row>
    <row r="3053">
      <c r="A3053" s="56" t="s">
        <v>4227</v>
      </c>
    </row>
    <row r="3054">
      <c r="A3054" s="56" t="s">
        <v>4293</v>
      </c>
    </row>
    <row r="3055">
      <c r="A3055" s="56" t="s">
        <v>4294</v>
      </c>
    </row>
    <row r="3056">
      <c r="A3056" s="56" t="s">
        <v>4295</v>
      </c>
    </row>
    <row r="3057">
      <c r="A3057" s="56" t="s">
        <v>4296</v>
      </c>
    </row>
    <row r="3058">
      <c r="A3058" s="56" t="s">
        <v>4297</v>
      </c>
    </row>
    <row r="3059">
      <c r="A3059" s="56" t="s">
        <v>932</v>
      </c>
    </row>
    <row r="3061">
      <c r="A3061" s="56" t="s">
        <v>4298</v>
      </c>
    </row>
    <row r="3062">
      <c r="A3062" s="56" t="s">
        <v>4299</v>
      </c>
    </row>
    <row r="3063">
      <c r="A3063" s="56" t="s">
        <v>4300</v>
      </c>
    </row>
    <row r="3065">
      <c r="A3065" s="56" t="s">
        <v>4301</v>
      </c>
    </row>
    <row r="3066">
      <c r="A3066" s="56" t="s">
        <v>4302</v>
      </c>
    </row>
    <row r="3067">
      <c r="A3067" s="56" t="s">
        <v>4303</v>
      </c>
    </row>
    <row r="3068">
      <c r="A3068" s="56" t="s">
        <v>4304</v>
      </c>
    </row>
    <row r="3069">
      <c r="A3069" s="56" t="s">
        <v>4305</v>
      </c>
    </row>
    <row r="3070">
      <c r="A3070" s="56" t="s">
        <v>4306</v>
      </c>
    </row>
    <row r="3071">
      <c r="A3071" s="56" t="s">
        <v>4307</v>
      </c>
    </row>
    <row r="3072">
      <c r="A3072" s="56" t="s">
        <v>4308</v>
      </c>
    </row>
    <row r="3073">
      <c r="A3073" s="56" t="s">
        <v>4309</v>
      </c>
    </row>
    <row r="3074">
      <c r="A3074" s="56" t="s">
        <v>1854</v>
      </c>
    </row>
    <row r="3075">
      <c r="A3075" s="56" t="s">
        <v>1944</v>
      </c>
    </row>
    <row r="3076">
      <c r="A3076" s="56" t="s">
        <v>4303</v>
      </c>
    </row>
    <row r="3077">
      <c r="A3077" s="56" t="s">
        <v>4310</v>
      </c>
    </row>
    <row r="3078">
      <c r="A3078" s="56" t="s">
        <v>4311</v>
      </c>
    </row>
    <row r="3079">
      <c r="A3079" s="56" t="s">
        <v>4312</v>
      </c>
    </row>
    <row r="3080">
      <c r="A3080" s="56" t="s">
        <v>4307</v>
      </c>
    </row>
    <row r="3081">
      <c r="A3081" s="56" t="s">
        <v>4313</v>
      </c>
    </row>
    <row r="3082">
      <c r="A3082" s="56" t="s">
        <v>1854</v>
      </c>
    </row>
    <row r="3083">
      <c r="A3083" s="56" t="s">
        <v>932</v>
      </c>
    </row>
    <row r="3085">
      <c r="A3085" s="56" t="s">
        <v>4199</v>
      </c>
    </row>
    <row r="3086">
      <c r="A3086" s="56" t="s">
        <v>4314</v>
      </c>
    </row>
    <row r="3087">
      <c r="A3087" s="56" t="s">
        <v>4315</v>
      </c>
    </row>
    <row r="3088">
      <c r="A3088" s="56" t="s">
        <v>4316</v>
      </c>
    </row>
    <row r="3089">
      <c r="A3089" s="56" t="s">
        <v>4203</v>
      </c>
    </row>
    <row r="3090">
      <c r="A3090" s="56" t="s">
        <v>4317</v>
      </c>
    </row>
    <row r="3091">
      <c r="A3091" s="56" t="s">
        <v>4318</v>
      </c>
    </row>
    <row r="3092">
      <c r="A3092" s="56" t="s">
        <v>4319</v>
      </c>
    </row>
    <row r="3093">
      <c r="A3093" s="56" t="s">
        <v>4320</v>
      </c>
    </row>
    <row r="3094">
      <c r="A3094" s="56" t="s">
        <v>4321</v>
      </c>
    </row>
    <row r="3095">
      <c r="A3095" s="56" t="s">
        <v>4322</v>
      </c>
    </row>
    <row r="3096">
      <c r="A3096" s="56" t="s">
        <v>4215</v>
      </c>
    </row>
    <row r="3097">
      <c r="A3097" s="56" t="s">
        <v>4323</v>
      </c>
    </row>
    <row r="3098">
      <c r="A3098" s="56" t="s">
        <v>4324</v>
      </c>
    </row>
    <row r="3099">
      <c r="A3099" s="56" t="s">
        <v>4325</v>
      </c>
    </row>
    <row r="3100">
      <c r="A3100" s="56" t="s">
        <v>4326</v>
      </c>
    </row>
    <row r="3101">
      <c r="A3101" s="56" t="s">
        <v>4327</v>
      </c>
    </row>
    <row r="3102">
      <c r="A3102" s="56" t="s">
        <v>4328</v>
      </c>
    </row>
    <row r="3103">
      <c r="A3103" s="56" t="s">
        <v>4329</v>
      </c>
    </row>
    <row r="3104">
      <c r="A3104" s="56" t="s">
        <v>4215</v>
      </c>
    </row>
    <row r="3105">
      <c r="A3105" s="56" t="s">
        <v>4206</v>
      </c>
    </row>
    <row r="3106">
      <c r="A3106" s="56" t="s">
        <v>4330</v>
      </c>
    </row>
    <row r="3108">
      <c r="A3108" s="56" t="s">
        <v>4331</v>
      </c>
    </row>
    <row r="3109">
      <c r="A3109" s="56" t="s">
        <v>4332</v>
      </c>
    </row>
    <row r="3110">
      <c r="A3110" s="56" t="s">
        <v>4333</v>
      </c>
    </row>
    <row r="3111">
      <c r="A3111" s="56" t="s">
        <v>4334</v>
      </c>
    </row>
    <row r="3113">
      <c r="A3113" s="56" t="s">
        <v>4335</v>
      </c>
    </row>
    <row r="3114">
      <c r="A3114" s="56" t="s">
        <v>4336</v>
      </c>
    </row>
    <row r="3115">
      <c r="A3115" s="56" t="s">
        <v>4337</v>
      </c>
    </row>
    <row r="3116">
      <c r="A3116" s="56" t="s">
        <v>4338</v>
      </c>
    </row>
    <row r="3118">
      <c r="A3118" s="56" t="s">
        <v>4339</v>
      </c>
    </row>
    <row r="3119">
      <c r="A3119" s="56" t="s">
        <v>4340</v>
      </c>
    </row>
    <row r="3120">
      <c r="A3120" s="56" t="s">
        <v>4341</v>
      </c>
    </row>
    <row r="3121">
      <c r="A3121" s="56" t="s">
        <v>4342</v>
      </c>
    </row>
    <row r="3122">
      <c r="A3122" s="56" t="s">
        <v>4343</v>
      </c>
    </row>
    <row r="3123">
      <c r="A3123" s="56" t="s">
        <v>4344</v>
      </c>
    </row>
    <row r="3124">
      <c r="A3124" s="56" t="s">
        <v>4345</v>
      </c>
    </row>
    <row r="3125">
      <c r="A3125" s="56" t="s">
        <v>932</v>
      </c>
    </row>
    <row r="3126">
      <c r="A3126" s="56" t="s">
        <v>4215</v>
      </c>
    </row>
    <row r="3128">
      <c r="A3128" s="56" t="s">
        <v>4346</v>
      </c>
    </row>
    <row r="3129">
      <c r="A3129" s="56" t="s">
        <v>4347</v>
      </c>
    </row>
    <row r="3130">
      <c r="A3130" s="56" t="s">
        <v>4217</v>
      </c>
    </row>
    <row r="3131">
      <c r="A3131" s="56" t="s">
        <v>4218</v>
      </c>
    </row>
    <row r="3132">
      <c r="A3132" s="56" t="s">
        <v>4348</v>
      </c>
    </row>
    <row r="3133">
      <c r="A3133" s="56" t="s">
        <v>4349</v>
      </c>
    </row>
    <row r="3134">
      <c r="A3134" s="56" t="s">
        <v>4350</v>
      </c>
    </row>
    <row r="3135">
      <c r="A3135" s="56" t="s">
        <v>932</v>
      </c>
    </row>
    <row r="3136">
      <c r="A3136" s="56" t="s">
        <v>1910</v>
      </c>
    </row>
    <row r="3138">
      <c r="A3138" s="56" t="s">
        <v>4351</v>
      </c>
    </row>
    <row r="3139">
      <c r="A3139" s="56" t="s">
        <v>4352</v>
      </c>
    </row>
    <row r="3140">
      <c r="A3140" s="56" t="s">
        <v>932</v>
      </c>
    </row>
    <row r="3142">
      <c r="A3142" s="56" t="s">
        <v>1829</v>
      </c>
    </row>
    <row r="3143">
      <c r="A3143" s="56" t="s">
        <v>2749</v>
      </c>
    </row>
    <row r="3144">
      <c r="A3144" s="56" t="s">
        <v>1829</v>
      </c>
    </row>
    <row r="3145">
      <c r="A3145" s="56" t="s">
        <v>2750</v>
      </c>
    </row>
    <row r="3146">
      <c r="A3146" s="56" t="s">
        <v>2751</v>
      </c>
    </row>
    <row r="3147">
      <c r="A3147" s="56" t="s">
        <v>2752</v>
      </c>
    </row>
    <row r="3148">
      <c r="A3148" s="56" t="s">
        <v>2754</v>
      </c>
    </row>
    <row r="3149">
      <c r="A3149" s="56" t="s">
        <v>2755</v>
      </c>
    </row>
    <row r="3150">
      <c r="A3150" s="56" t="s">
        <v>932</v>
      </c>
    </row>
    <row r="3151">
      <c r="A3151" s="56" t="s">
        <v>2757</v>
      </c>
    </row>
    <row r="3152">
      <c r="A3152" s="56" t="s">
        <v>2758</v>
      </c>
    </row>
    <row r="3153">
      <c r="A3153" s="56" t="s">
        <v>2759</v>
      </c>
    </row>
    <row r="3154">
      <c r="A3154" s="56" t="s">
        <v>2760</v>
      </c>
    </row>
    <row r="3155">
      <c r="A3155" s="56" t="s">
        <v>2761</v>
      </c>
    </row>
    <row r="3156">
      <c r="A3156" s="56" t="s">
        <v>2763</v>
      </c>
    </row>
    <row r="3157">
      <c r="A3157" s="56" t="s">
        <v>1910</v>
      </c>
    </row>
    <row r="3158">
      <c r="A3158" s="56" t="s">
        <v>2766</v>
      </c>
    </row>
    <row r="3159">
      <c r="A3159" s="56" t="s">
        <v>2767</v>
      </c>
    </row>
    <row r="3160">
      <c r="A3160" s="56" t="s">
        <v>2768</v>
      </c>
    </row>
    <row r="3161">
      <c r="A3161" s="56" t="s">
        <v>932</v>
      </c>
    </row>
    <row r="3163">
      <c r="A3163" s="56" t="s">
        <v>2770</v>
      </c>
    </row>
    <row r="3164">
      <c r="A3164" s="56" t="s">
        <v>2771</v>
      </c>
    </row>
    <row r="3165">
      <c r="A3165" s="56" t="s">
        <v>2772</v>
      </c>
    </row>
    <row r="3166">
      <c r="A3166" s="56" t="s">
        <v>2773</v>
      </c>
    </row>
    <row r="3167">
      <c r="A3167" s="56" t="s">
        <v>2774</v>
      </c>
    </row>
    <row r="3168">
      <c r="A3168" s="56" t="s">
        <v>932</v>
      </c>
    </row>
    <row r="3169">
      <c r="A3169" s="56" t="s">
        <v>2775</v>
      </c>
    </row>
    <row r="3170">
      <c r="A3170" s="56" t="s">
        <v>2777</v>
      </c>
    </row>
    <row r="3171">
      <c r="A3171" s="56" t="s">
        <v>2778</v>
      </c>
    </row>
    <row r="3172">
      <c r="A3172" s="56" t="s">
        <v>2779</v>
      </c>
    </row>
    <row r="3173">
      <c r="A3173" s="56" t="s">
        <v>932</v>
      </c>
    </row>
    <row r="3174">
      <c r="A3174" s="56" t="s">
        <v>2781</v>
      </c>
    </row>
    <row r="3175">
      <c r="A3175" s="56" t="s">
        <v>2782</v>
      </c>
    </row>
    <row r="3176">
      <c r="A3176" s="56" t="s">
        <v>2783</v>
      </c>
    </row>
    <row r="3177">
      <c r="A3177" s="56" t="s">
        <v>2774</v>
      </c>
    </row>
    <row r="3178">
      <c r="A3178" s="56" t="s">
        <v>932</v>
      </c>
    </row>
    <row r="3179">
      <c r="A3179" s="56" t="s">
        <v>2786</v>
      </c>
    </row>
    <row r="3180">
      <c r="A3180" s="56" t="s">
        <v>2782</v>
      </c>
    </row>
    <row r="3181">
      <c r="A3181" s="56" t="s">
        <v>2787</v>
      </c>
    </row>
    <row r="3182">
      <c r="A3182" s="56" t="s">
        <v>2788</v>
      </c>
    </row>
    <row r="3183">
      <c r="A3183" s="56" t="s">
        <v>932</v>
      </c>
    </row>
    <row r="3184">
      <c r="A3184" s="56" t="s">
        <v>2789</v>
      </c>
    </row>
    <row r="3185">
      <c r="A3185" s="56" t="s">
        <v>2791</v>
      </c>
    </row>
    <row r="3186">
      <c r="A3186" s="56" t="s">
        <v>2792</v>
      </c>
    </row>
    <row r="3187">
      <c r="A3187" s="56" t="s">
        <v>2794</v>
      </c>
    </row>
    <row r="3188">
      <c r="A3188" s="56" t="s">
        <v>2795</v>
      </c>
    </row>
    <row r="3189">
      <c r="A3189" s="56" t="s">
        <v>2796</v>
      </c>
    </row>
    <row r="3190">
      <c r="A3190" s="56" t="s">
        <v>2797</v>
      </c>
    </row>
    <row r="3191">
      <c r="A3191" s="56" t="s">
        <v>2081</v>
      </c>
    </row>
    <row r="3192">
      <c r="A3192" s="56" t="s">
        <v>2799</v>
      </c>
    </row>
    <row r="3193">
      <c r="A3193" s="56" t="s">
        <v>2800</v>
      </c>
    </row>
    <row r="3194">
      <c r="A3194" s="56" t="s">
        <v>2802</v>
      </c>
    </row>
    <row r="3195">
      <c r="A3195" s="56" t="s">
        <v>2804</v>
      </c>
    </row>
    <row r="3196">
      <c r="A3196" s="56" t="s">
        <v>2806</v>
      </c>
    </row>
    <row r="3197">
      <c r="A3197" s="56" t="s">
        <v>2807</v>
      </c>
    </row>
    <row r="3198">
      <c r="A3198" s="56" t="s">
        <v>1431</v>
      </c>
    </row>
    <row r="3199">
      <c r="A3199" s="56" t="s">
        <v>2809</v>
      </c>
    </row>
    <row r="3200">
      <c r="A3200" s="56" t="s">
        <v>2810</v>
      </c>
    </row>
    <row r="3201">
      <c r="A3201" s="56" t="s">
        <v>1431</v>
      </c>
    </row>
    <row r="3202">
      <c r="A3202" s="56" t="s">
        <v>2811</v>
      </c>
    </row>
    <row r="3203">
      <c r="A3203" s="56" t="s">
        <v>2080</v>
      </c>
    </row>
    <row r="3204">
      <c r="A3204" s="56" t="s">
        <v>2081</v>
      </c>
    </row>
    <row r="3205">
      <c r="A3205" s="56" t="s">
        <v>2788</v>
      </c>
    </row>
    <row r="3206">
      <c r="A3206" s="56" t="s">
        <v>932</v>
      </c>
    </row>
    <row r="3207">
      <c r="A3207" s="56" t="s">
        <v>2812</v>
      </c>
    </row>
    <row r="3208">
      <c r="A3208" s="56" t="s">
        <v>2813</v>
      </c>
    </row>
    <row r="3209">
      <c r="A3209" s="56" t="s">
        <v>2814</v>
      </c>
    </row>
    <row r="3210">
      <c r="A3210" s="56" t="s">
        <v>2815</v>
      </c>
    </row>
    <row r="3211">
      <c r="A3211" s="56" t="s">
        <v>2816</v>
      </c>
    </row>
    <row r="3212">
      <c r="A3212" s="56" t="s">
        <v>2818</v>
      </c>
    </row>
    <row r="3213">
      <c r="A3213" s="56" t="s">
        <v>2819</v>
      </c>
    </row>
    <row r="3214">
      <c r="A3214" s="56" t="s">
        <v>1910</v>
      </c>
    </row>
    <row r="3215">
      <c r="A3215" s="56" t="s">
        <v>2820</v>
      </c>
    </row>
    <row r="3216">
      <c r="A3216" s="56" t="s">
        <v>2821</v>
      </c>
    </row>
    <row r="3217">
      <c r="A3217" s="56" t="s">
        <v>2823</v>
      </c>
    </row>
    <row r="3218">
      <c r="A3218" s="56" t="s">
        <v>932</v>
      </c>
    </row>
    <row r="3219">
      <c r="A3219" s="56" t="s">
        <v>2826</v>
      </c>
    </row>
    <row r="3220">
      <c r="A3220" s="56" t="s">
        <v>2828</v>
      </c>
    </row>
    <row r="3221">
      <c r="A3221" s="56" t="s">
        <v>2830</v>
      </c>
    </row>
    <row r="3222">
      <c r="A3222" s="56" t="s">
        <v>2831</v>
      </c>
    </row>
    <row r="3223">
      <c r="A3223" s="56" t="s">
        <v>932</v>
      </c>
    </row>
    <row r="3224">
      <c r="A3224" s="56" t="s">
        <v>2832</v>
      </c>
    </row>
    <row r="3225">
      <c r="A3225" s="56" t="s">
        <v>2833</v>
      </c>
    </row>
    <row r="3226">
      <c r="A3226" s="56" t="s">
        <v>2834</v>
      </c>
    </row>
    <row r="3227">
      <c r="A3227" s="56" t="s">
        <v>2836</v>
      </c>
    </row>
    <row r="3228">
      <c r="A3228" s="56" t="s">
        <v>2838</v>
      </c>
    </row>
    <row r="3229">
      <c r="A3229" s="56" t="s">
        <v>2840</v>
      </c>
    </row>
    <row r="3230">
      <c r="A3230" s="56" t="s">
        <v>2841</v>
      </c>
    </row>
    <row r="3231">
      <c r="A3231" s="56" t="s">
        <v>2842</v>
      </c>
    </row>
    <row r="3232">
      <c r="A3232" s="56" t="s">
        <v>2813</v>
      </c>
    </row>
    <row r="3233">
      <c r="A3233" s="56" t="s">
        <v>2844</v>
      </c>
    </row>
    <row r="3234">
      <c r="A3234" s="56" t="s">
        <v>2845</v>
      </c>
    </row>
    <row r="3235">
      <c r="A3235" s="56" t="s">
        <v>2846</v>
      </c>
    </row>
    <row r="3236">
      <c r="A3236" s="56" t="s">
        <v>2848</v>
      </c>
    </row>
    <row r="3237">
      <c r="A3237" s="56" t="s">
        <v>2818</v>
      </c>
    </row>
    <row r="3238">
      <c r="A3238" s="56" t="s">
        <v>2851</v>
      </c>
    </row>
    <row r="3239">
      <c r="A3239" s="56" t="s">
        <v>2853</v>
      </c>
    </row>
    <row r="3240">
      <c r="A3240" s="56" t="s">
        <v>2854</v>
      </c>
    </row>
    <row r="3241">
      <c r="A3241" s="56" t="s">
        <v>932</v>
      </c>
    </row>
    <row r="3242">
      <c r="A3242" s="56" t="s">
        <v>2855</v>
      </c>
    </row>
    <row r="3244">
      <c r="A3244" s="56" t="s">
        <v>2856</v>
      </c>
    </row>
    <row r="3245">
      <c r="A3245" s="56" t="s">
        <v>1929</v>
      </c>
    </row>
    <row r="3246">
      <c r="A3246" s="56" t="s">
        <v>1930</v>
      </c>
    </row>
    <row r="3247">
      <c r="A3247" s="56" t="s">
        <v>2860</v>
      </c>
    </row>
    <row r="3248">
      <c r="A3248" s="56" t="s">
        <v>2862</v>
      </c>
    </row>
    <row r="3249">
      <c r="A3249" s="56" t="s">
        <v>2863</v>
      </c>
    </row>
    <row r="3250">
      <c r="A3250" s="56" t="s">
        <v>1946</v>
      </c>
    </row>
    <row r="3251">
      <c r="A3251" s="56" t="s">
        <v>2864</v>
      </c>
    </row>
    <row r="3252">
      <c r="A3252" s="56" t="s">
        <v>2865</v>
      </c>
    </row>
    <row r="3253">
      <c r="A3253" s="56" t="s">
        <v>932</v>
      </c>
    </row>
    <row r="3255">
      <c r="A3255" s="56" t="s">
        <v>2867</v>
      </c>
    </row>
    <row r="3256">
      <c r="A3256" s="56" t="s">
        <v>2868</v>
      </c>
    </row>
    <row r="3257">
      <c r="A3257" s="56" t="s">
        <v>2869</v>
      </c>
    </row>
    <row r="3258">
      <c r="A3258" s="56" t="s">
        <v>1929</v>
      </c>
    </row>
    <row r="3259">
      <c r="A3259" s="56" t="s">
        <v>3719</v>
      </c>
    </row>
    <row r="3260">
      <c r="A3260" s="56" t="s">
        <v>4353</v>
      </c>
    </row>
    <row r="3261">
      <c r="A3261" s="56" t="s">
        <v>3721</v>
      </c>
    </row>
    <row r="3262">
      <c r="A3262" s="56" t="s">
        <v>1946</v>
      </c>
    </row>
    <row r="3263">
      <c r="A3263" s="56" t="s">
        <v>2872</v>
      </c>
    </row>
    <row r="3264">
      <c r="A3264" s="56" t="s">
        <v>4354</v>
      </c>
    </row>
    <row r="3265">
      <c r="A3265" s="56" t="s">
        <v>932</v>
      </c>
    </row>
    <row r="3266">
      <c r="A3266" s="56" t="s">
        <v>2877</v>
      </c>
    </row>
    <row r="3267">
      <c r="A3267" s="56" t="s">
        <v>2879</v>
      </c>
    </row>
    <row r="3268">
      <c r="A3268" s="56" t="s">
        <v>2880</v>
      </c>
    </row>
    <row r="3269">
      <c r="A3269" s="56" t="s">
        <v>2791</v>
      </c>
    </row>
    <row r="3270">
      <c r="A3270" s="56" t="s">
        <v>2881</v>
      </c>
    </row>
    <row r="3271">
      <c r="A3271" s="56" t="s">
        <v>4355</v>
      </c>
    </row>
    <row r="3272">
      <c r="A3272" s="56" t="s">
        <v>2883</v>
      </c>
    </row>
    <row r="3273">
      <c r="A3273" s="56" t="s">
        <v>4356</v>
      </c>
    </row>
    <row r="3274">
      <c r="A3274" s="56" t="s">
        <v>4357</v>
      </c>
    </row>
    <row r="3275">
      <c r="A3275" s="56" t="s">
        <v>4358</v>
      </c>
    </row>
    <row r="3276">
      <c r="A3276" s="56" t="s">
        <v>4359</v>
      </c>
    </row>
    <row r="3277">
      <c r="A3277" s="56" t="s">
        <v>4360</v>
      </c>
    </row>
    <row r="3278">
      <c r="A3278" s="56" t="s">
        <v>4361</v>
      </c>
    </row>
    <row r="3279">
      <c r="A3279" s="56" t="s">
        <v>932</v>
      </c>
    </row>
    <row r="3280">
      <c r="A3280" s="56" t="s">
        <v>4362</v>
      </c>
    </row>
    <row r="3281">
      <c r="A3281" s="56" t="s">
        <v>2081</v>
      </c>
    </row>
    <row r="3282">
      <c r="A3282" s="56" t="s">
        <v>4363</v>
      </c>
    </row>
    <row r="3283">
      <c r="A3283" s="56" t="s">
        <v>4364</v>
      </c>
    </row>
    <row r="3284">
      <c r="A3284" s="56" t="s">
        <v>4365</v>
      </c>
    </row>
    <row r="3285">
      <c r="A3285" s="56" t="s">
        <v>4366</v>
      </c>
    </row>
    <row r="3286">
      <c r="A3286" s="56" t="s">
        <v>4367</v>
      </c>
    </row>
    <row r="3287">
      <c r="A3287" s="56" t="s">
        <v>4368</v>
      </c>
    </row>
    <row r="3288">
      <c r="A3288" s="56" t="s">
        <v>1431</v>
      </c>
    </row>
    <row r="3289">
      <c r="A3289" s="56" t="s">
        <v>4369</v>
      </c>
    </row>
    <row r="3290">
      <c r="A3290" s="56" t="s">
        <v>2080</v>
      </c>
    </row>
    <row r="3291">
      <c r="A3291" s="56" t="s">
        <v>932</v>
      </c>
    </row>
    <row r="3292">
      <c r="A3292" s="56" t="s">
        <v>2885</v>
      </c>
    </row>
    <row r="3293">
      <c r="A3293" s="56" t="s">
        <v>2887</v>
      </c>
    </row>
    <row r="3294">
      <c r="A3294" s="56" t="s">
        <v>2889</v>
      </c>
    </row>
    <row r="3295">
      <c r="A3295" s="56" t="s">
        <v>4370</v>
      </c>
    </row>
    <row r="3296">
      <c r="A3296" s="56" t="s">
        <v>1431</v>
      </c>
    </row>
    <row r="3297">
      <c r="A3297" s="56" t="s">
        <v>2893</v>
      </c>
    </row>
    <row r="3298">
      <c r="A3298" s="56" t="s">
        <v>4371</v>
      </c>
    </row>
    <row r="3299">
      <c r="A3299" s="56" t="s">
        <v>2080</v>
      </c>
    </row>
    <row r="3300">
      <c r="A3300" s="56" t="s">
        <v>2081</v>
      </c>
    </row>
    <row r="3301">
      <c r="A3301" s="56" t="s">
        <v>4372</v>
      </c>
    </row>
    <row r="3302">
      <c r="A3302" s="56" t="s">
        <v>4373</v>
      </c>
    </row>
    <row r="3303">
      <c r="A3303" s="56" t="s">
        <v>4374</v>
      </c>
    </row>
    <row r="3304">
      <c r="A3304" s="56" t="s">
        <v>4375</v>
      </c>
    </row>
    <row r="3305">
      <c r="A3305" s="56" t="s">
        <v>2896</v>
      </c>
    </row>
    <row r="3306">
      <c r="A3306" s="56" t="s">
        <v>1493</v>
      </c>
    </row>
    <row r="3307">
      <c r="A3307" s="56" t="s">
        <v>2898</v>
      </c>
    </row>
    <row r="3308">
      <c r="A3308" s="56" t="s">
        <v>2900</v>
      </c>
    </row>
    <row r="3309">
      <c r="A3309" s="56" t="s">
        <v>1431</v>
      </c>
    </row>
    <row r="3310">
      <c r="A3310" s="56" t="s">
        <v>4376</v>
      </c>
    </row>
    <row r="3311">
      <c r="A3311" s="56" t="s">
        <v>1431</v>
      </c>
    </row>
    <row r="3312">
      <c r="A3312" s="56" t="s">
        <v>2902</v>
      </c>
    </row>
    <row r="3313">
      <c r="A3313" s="56" t="s">
        <v>2903</v>
      </c>
    </row>
    <row r="3314">
      <c r="A3314" s="56" t="s">
        <v>2904</v>
      </c>
    </row>
    <row r="3315">
      <c r="A3315" s="56" t="s">
        <v>4377</v>
      </c>
    </row>
    <row r="3316">
      <c r="A3316" s="56" t="s">
        <v>4378</v>
      </c>
    </row>
    <row r="3317">
      <c r="A3317" s="56" t="s">
        <v>1431</v>
      </c>
    </row>
    <row r="3318">
      <c r="A3318" s="56" t="s">
        <v>2080</v>
      </c>
    </row>
    <row r="3319">
      <c r="A3319" s="56" t="s">
        <v>2081</v>
      </c>
    </row>
    <row r="3320">
      <c r="A3320" s="56" t="s">
        <v>2907</v>
      </c>
    </row>
    <row r="3321">
      <c r="A3321" s="56" t="s">
        <v>932</v>
      </c>
    </row>
    <row r="3322">
      <c r="A3322" s="56" t="s">
        <v>2908</v>
      </c>
    </row>
    <row r="3323">
      <c r="A3323" s="56" t="s">
        <v>2909</v>
      </c>
    </row>
    <row r="3324">
      <c r="A3324" s="56" t="s">
        <v>2911</v>
      </c>
    </row>
    <row r="3325">
      <c r="A3325" s="56" t="s">
        <v>1929</v>
      </c>
    </row>
    <row r="3326">
      <c r="A3326" s="56" t="s">
        <v>1930</v>
      </c>
    </row>
    <row r="3327">
      <c r="A3327" s="56" t="s">
        <v>2912</v>
      </c>
    </row>
    <row r="3328">
      <c r="A3328" s="56" t="s">
        <v>2913</v>
      </c>
    </row>
    <row r="3329">
      <c r="A3329" s="56" t="s">
        <v>1946</v>
      </c>
    </row>
    <row r="3330">
      <c r="A3330" s="56" t="s">
        <v>2914</v>
      </c>
    </row>
    <row r="3331">
      <c r="A3331" s="56" t="s">
        <v>2916</v>
      </c>
    </row>
    <row r="3332">
      <c r="A3332" s="56" t="s">
        <v>932</v>
      </c>
    </row>
    <row r="3334">
      <c r="A3334" s="56" t="s">
        <v>2920</v>
      </c>
    </row>
    <row r="3335">
      <c r="A3335" s="56" t="s">
        <v>4379</v>
      </c>
    </row>
    <row r="3336">
      <c r="A3336" s="56" t="s">
        <v>4380</v>
      </c>
    </row>
    <row r="3337">
      <c r="A3337" s="56" t="s">
        <v>2922</v>
      </c>
    </row>
    <row r="3338">
      <c r="A3338" s="56" t="s">
        <v>2923</v>
      </c>
    </row>
    <row r="3339">
      <c r="A3339" s="56" t="s">
        <v>2924</v>
      </c>
    </row>
    <row r="3340">
      <c r="A3340" s="56" t="s">
        <v>4381</v>
      </c>
    </row>
    <row r="3341">
      <c r="A3341" s="56" t="s">
        <v>4382</v>
      </c>
    </row>
    <row r="3342">
      <c r="A3342" s="56" t="s">
        <v>4383</v>
      </c>
    </row>
    <row r="3344">
      <c r="A3344" s="56" t="s">
        <v>4384</v>
      </c>
    </row>
    <row r="3345">
      <c r="A3345" s="56" t="s">
        <v>4385</v>
      </c>
    </row>
    <row r="3347">
      <c r="A3347" s="56" t="s">
        <v>4386</v>
      </c>
    </row>
    <row r="3348">
      <c r="A3348" s="56" t="s">
        <v>4387</v>
      </c>
    </row>
    <row r="3349">
      <c r="A3349" s="56" t="s">
        <v>4388</v>
      </c>
    </row>
    <row r="3351">
      <c r="A3351" s="56" t="s">
        <v>2791</v>
      </c>
    </row>
    <row r="3353">
      <c r="A3353" s="56" t="s">
        <v>4389</v>
      </c>
    </row>
    <row r="3354">
      <c r="A3354" s="56" t="s">
        <v>2928</v>
      </c>
    </row>
    <row r="3355">
      <c r="A3355" s="56" t="s">
        <v>4390</v>
      </c>
    </row>
    <row r="3356">
      <c r="A3356" s="56" t="s">
        <v>4391</v>
      </c>
    </row>
    <row r="3357">
      <c r="A3357" s="56" t="s">
        <v>2080</v>
      </c>
    </row>
    <row r="3359">
      <c r="A3359" s="56" t="s">
        <v>2929</v>
      </c>
    </row>
    <row r="3360">
      <c r="A3360" s="56" t="s">
        <v>2931</v>
      </c>
    </row>
    <row r="3361">
      <c r="A3361" s="56" t="s">
        <v>4392</v>
      </c>
    </row>
    <row r="3362">
      <c r="A3362" s="56" t="s">
        <v>4393</v>
      </c>
    </row>
    <row r="3364">
      <c r="A3364" s="56" t="s">
        <v>4394</v>
      </c>
    </row>
    <row r="3366">
      <c r="A3366" s="56" t="s">
        <v>4395</v>
      </c>
    </row>
    <row r="3367">
      <c r="A3367" s="56" t="s">
        <v>2936</v>
      </c>
    </row>
    <row r="3368">
      <c r="A3368" s="56" t="s">
        <v>2937</v>
      </c>
    </row>
    <row r="3369">
      <c r="A3369" s="56" t="s">
        <v>2080</v>
      </c>
    </row>
    <row r="3371">
      <c r="A3371" s="56" t="s">
        <v>4396</v>
      </c>
    </row>
    <row r="3372">
      <c r="A3372" s="56" t="s">
        <v>4397</v>
      </c>
    </row>
    <row r="3373">
      <c r="A3373" s="56" t="s">
        <v>4398</v>
      </c>
    </row>
    <row r="3374">
      <c r="A3374" s="56" t="s">
        <v>4399</v>
      </c>
    </row>
    <row r="3375">
      <c r="A3375" s="56" t="s">
        <v>4400</v>
      </c>
    </row>
    <row r="3376">
      <c r="A3376" s="56" t="s">
        <v>2945</v>
      </c>
    </row>
    <row r="3377">
      <c r="A3377" s="56" t="s">
        <v>4401</v>
      </c>
    </row>
    <row r="3378">
      <c r="A3378" s="56" t="s">
        <v>4402</v>
      </c>
    </row>
    <row r="3379">
      <c r="A3379" s="56" t="s">
        <v>4403</v>
      </c>
    </row>
    <row r="3380">
      <c r="A3380" s="56" t="s">
        <v>4404</v>
      </c>
    </row>
    <row r="3381">
      <c r="A3381" s="56" t="s">
        <v>2080</v>
      </c>
    </row>
    <row r="3382">
      <c r="A3382" s="56" t="s">
        <v>932</v>
      </c>
    </row>
    <row r="3383">
      <c r="A3383" s="56" t="s">
        <v>4161</v>
      </c>
    </row>
    <row r="3384">
      <c r="A3384" s="56" t="s">
        <v>932</v>
      </c>
    </row>
    <row r="3386">
      <c r="A3386" s="56" t="s">
        <v>4405</v>
      </c>
    </row>
    <row r="3387">
      <c r="A3387" s="56" t="s">
        <v>4406</v>
      </c>
    </row>
    <row r="3388">
      <c r="A3388" s="56" t="s">
        <v>4407</v>
      </c>
    </row>
    <row r="3390">
      <c r="A3390" s="56" t="s">
        <v>2945</v>
      </c>
    </row>
    <row r="3391">
      <c r="A3391" s="56" t="s">
        <v>2946</v>
      </c>
    </row>
    <row r="3392">
      <c r="A3392" s="56" t="s">
        <v>4408</v>
      </c>
    </row>
    <row r="3393">
      <c r="A3393" s="56" t="s">
        <v>4409</v>
      </c>
    </row>
    <row r="3394">
      <c r="A3394" s="56" t="s">
        <v>4410</v>
      </c>
    </row>
    <row r="3395">
      <c r="A3395" s="56" t="s">
        <v>4411</v>
      </c>
    </row>
    <row r="3396">
      <c r="A3396" s="56" t="s">
        <v>4412</v>
      </c>
    </row>
    <row r="3397">
      <c r="A3397" s="56" t="s">
        <v>4413</v>
      </c>
    </row>
    <row r="3398">
      <c r="A3398" s="56" t="s">
        <v>2080</v>
      </c>
    </row>
    <row r="3399">
      <c r="A3399" s="56" t="s">
        <v>932</v>
      </c>
    </row>
    <row r="3401">
      <c r="A3401" s="56" t="s">
        <v>2952</v>
      </c>
    </row>
    <row r="3402">
      <c r="A3402" s="56" t="s">
        <v>4414</v>
      </c>
    </row>
    <row r="3404">
      <c r="A3404" s="56" t="s">
        <v>4415</v>
      </c>
    </row>
    <row r="3405">
      <c r="A3405" s="56" t="s">
        <v>4416</v>
      </c>
    </row>
    <row r="3406">
      <c r="A3406" s="56" t="s">
        <v>4417</v>
      </c>
    </row>
    <row r="3407">
      <c r="A3407" s="56" t="s">
        <v>4418</v>
      </c>
    </row>
    <row r="3408">
      <c r="A3408" s="56" t="s">
        <v>4400</v>
      </c>
    </row>
    <row r="3410">
      <c r="A3410" s="56" t="s">
        <v>2957</v>
      </c>
    </row>
    <row r="3411">
      <c r="A3411" s="56" t="s">
        <v>2959</v>
      </c>
    </row>
    <row r="3412">
      <c r="A3412" s="56" t="s">
        <v>4419</v>
      </c>
    </row>
    <row r="3413">
      <c r="A3413" s="56" t="s">
        <v>4420</v>
      </c>
    </row>
    <row r="3414">
      <c r="A3414" s="56" t="s">
        <v>4421</v>
      </c>
    </row>
    <row r="3415">
      <c r="A3415" s="56" t="s">
        <v>2965</v>
      </c>
    </row>
    <row r="3416">
      <c r="A3416" s="56" t="s">
        <v>4422</v>
      </c>
    </row>
    <row r="3417">
      <c r="A3417" s="56" t="s">
        <v>2967</v>
      </c>
    </row>
    <row r="3419">
      <c r="A3419" s="56" t="s">
        <v>2968</v>
      </c>
    </row>
    <row r="3420">
      <c r="A3420" s="56" t="s">
        <v>4423</v>
      </c>
    </row>
    <row r="3421">
      <c r="A3421" s="56" t="s">
        <v>4424</v>
      </c>
    </row>
    <row r="3422">
      <c r="A3422" s="56" t="s">
        <v>4425</v>
      </c>
    </row>
    <row r="3423">
      <c r="A3423" s="56" t="s">
        <v>2080</v>
      </c>
    </row>
    <row r="3424">
      <c r="A3424" s="56" t="s">
        <v>932</v>
      </c>
    </row>
    <row r="3426">
      <c r="A3426" s="56" t="s">
        <v>2952</v>
      </c>
    </row>
    <row r="3427">
      <c r="A3427" s="56" t="s">
        <v>4426</v>
      </c>
    </row>
    <row r="3428">
      <c r="A3428" s="56" t="s">
        <v>2976</v>
      </c>
    </row>
    <row r="3429">
      <c r="A3429" s="56" t="s">
        <v>4427</v>
      </c>
    </row>
    <row r="3430">
      <c r="A3430" s="56" t="s">
        <v>1431</v>
      </c>
    </row>
    <row r="3431">
      <c r="A3431" s="56" t="s">
        <v>4428</v>
      </c>
    </row>
    <row r="3432">
      <c r="A3432" s="56" t="s">
        <v>2080</v>
      </c>
    </row>
    <row r="3433">
      <c r="A3433" s="56" t="s">
        <v>932</v>
      </c>
    </row>
    <row r="3435">
      <c r="A3435" s="56" t="s">
        <v>4161</v>
      </c>
    </row>
    <row r="3436">
      <c r="A3436" s="56" t="s">
        <v>932</v>
      </c>
    </row>
    <row r="3438">
      <c r="A3438" s="56" t="s">
        <v>4429</v>
      </c>
    </row>
    <row r="3440">
      <c r="A3440" s="56" t="s">
        <v>2985</v>
      </c>
    </row>
    <row r="3441">
      <c r="A3441" s="56" t="s">
        <v>2986</v>
      </c>
    </row>
    <row r="3442">
      <c r="A3442" s="56" t="s">
        <v>2987</v>
      </c>
    </row>
    <row r="3443">
      <c r="A3443" s="56" t="s">
        <v>932</v>
      </c>
    </row>
    <row r="3445">
      <c r="A3445" s="56" t="s">
        <v>2990</v>
      </c>
    </row>
    <row r="3446">
      <c r="A3446" s="56" t="s">
        <v>2991</v>
      </c>
    </row>
    <row r="3447">
      <c r="A3447" s="56" t="s">
        <v>2992</v>
      </c>
    </row>
    <row r="3448">
      <c r="A3448" s="56" t="s">
        <v>2993</v>
      </c>
    </row>
    <row r="3449">
      <c r="A3449" s="56" t="s">
        <v>2791</v>
      </c>
    </row>
    <row r="3450">
      <c r="A3450" s="56" t="s">
        <v>4382</v>
      </c>
    </row>
    <row r="3451">
      <c r="A3451" s="56" t="s">
        <v>4383</v>
      </c>
    </row>
    <row r="3453">
      <c r="A3453" s="56" t="s">
        <v>4430</v>
      </c>
    </row>
    <row r="3454">
      <c r="A3454" s="56" t="s">
        <v>4431</v>
      </c>
    </row>
    <row r="3455">
      <c r="A3455" s="56" t="s">
        <v>2996</v>
      </c>
    </row>
    <row r="3456">
      <c r="A3456" s="56" t="s">
        <v>2998</v>
      </c>
    </row>
    <row r="3457">
      <c r="A3457" s="56" t="s">
        <v>4432</v>
      </c>
    </row>
    <row r="3458">
      <c r="A3458" s="56" t="s">
        <v>932</v>
      </c>
    </row>
    <row r="3460">
      <c r="A3460" s="56" t="s">
        <v>4433</v>
      </c>
    </row>
    <row r="3461">
      <c r="A3461" s="56" t="s">
        <v>4356</v>
      </c>
    </row>
    <row r="3463">
      <c r="A3463" s="56" t="s">
        <v>4434</v>
      </c>
    </row>
    <row r="3464">
      <c r="A3464" s="56" t="s">
        <v>4435</v>
      </c>
    </row>
    <row r="3465">
      <c r="A3465" s="56" t="s">
        <v>4436</v>
      </c>
    </row>
    <row r="3467">
      <c r="A3467" s="56" t="s">
        <v>3002</v>
      </c>
    </row>
    <row r="3468">
      <c r="A3468" s="56" t="s">
        <v>3003</v>
      </c>
    </row>
    <row r="3470">
      <c r="A3470" s="56" t="s">
        <v>4360</v>
      </c>
    </row>
    <row r="3471">
      <c r="A3471" s="56" t="s">
        <v>4437</v>
      </c>
    </row>
    <row r="3472">
      <c r="A3472" s="56" t="s">
        <v>4438</v>
      </c>
    </row>
    <row r="3473">
      <c r="A3473" s="56" t="s">
        <v>4439</v>
      </c>
    </row>
    <row r="3474">
      <c r="A3474" s="56" t="s">
        <v>4440</v>
      </c>
    </row>
    <row r="3475">
      <c r="A3475" s="56" t="s">
        <v>4441</v>
      </c>
    </row>
    <row r="3476">
      <c r="A3476" s="56" t="s">
        <v>3007</v>
      </c>
    </row>
    <row r="3477">
      <c r="A3477" s="56" t="s">
        <v>4442</v>
      </c>
    </row>
    <row r="3478">
      <c r="A3478" s="56" t="s">
        <v>3010</v>
      </c>
    </row>
    <row r="3479">
      <c r="A3479" s="56" t="s">
        <v>3011</v>
      </c>
    </row>
    <row r="3480">
      <c r="A3480" s="56" t="s">
        <v>4443</v>
      </c>
    </row>
    <row r="3481">
      <c r="A3481" s="56" t="s">
        <v>1944</v>
      </c>
    </row>
    <row r="3482">
      <c r="A3482" s="56" t="s">
        <v>3014</v>
      </c>
    </row>
    <row r="3483">
      <c r="A3483" s="56" t="s">
        <v>4444</v>
      </c>
    </row>
    <row r="3484">
      <c r="A3484" s="56" t="s">
        <v>932</v>
      </c>
    </row>
    <row r="3485">
      <c r="A3485" s="56" t="s">
        <v>1944</v>
      </c>
    </row>
    <row r="3486">
      <c r="A3486" s="56" t="s">
        <v>4445</v>
      </c>
    </row>
    <row r="3487">
      <c r="A3487" s="56" t="s">
        <v>3006</v>
      </c>
    </row>
    <row r="3488">
      <c r="A3488" s="56" t="s">
        <v>3007</v>
      </c>
    </row>
    <row r="3489">
      <c r="A3489" s="56" t="s">
        <v>4446</v>
      </c>
    </row>
    <row r="3490">
      <c r="A3490" s="56" t="s">
        <v>4447</v>
      </c>
    </row>
    <row r="3491">
      <c r="A3491" s="56" t="s">
        <v>3010</v>
      </c>
    </row>
    <row r="3492">
      <c r="A3492" s="56" t="s">
        <v>3011</v>
      </c>
    </row>
    <row r="3493">
      <c r="A3493" s="56" t="s">
        <v>4448</v>
      </c>
    </row>
    <row r="3494">
      <c r="A3494" s="56" t="s">
        <v>4447</v>
      </c>
    </row>
    <row r="3495">
      <c r="A3495" s="56" t="s">
        <v>1944</v>
      </c>
    </row>
    <row r="3496">
      <c r="A3496" s="56" t="s">
        <v>3014</v>
      </c>
    </row>
    <row r="3497">
      <c r="A3497" s="56" t="s">
        <v>4449</v>
      </c>
    </row>
    <row r="3498">
      <c r="A3498" s="56" t="s">
        <v>4450</v>
      </c>
    </row>
    <row r="3499">
      <c r="A3499" s="56" t="s">
        <v>932</v>
      </c>
    </row>
    <row r="3500">
      <c r="A3500" s="56" t="s">
        <v>932</v>
      </c>
    </row>
    <row r="3502">
      <c r="A3502" s="56" t="s">
        <v>4451</v>
      </c>
    </row>
    <row r="3503">
      <c r="A3503" s="56" t="s">
        <v>3021</v>
      </c>
    </row>
    <row r="3505">
      <c r="A3505" s="56" t="s">
        <v>4416</v>
      </c>
    </row>
    <row r="3506">
      <c r="A3506" s="56" t="s">
        <v>3022</v>
      </c>
    </row>
    <row r="3507">
      <c r="A3507" s="56" t="s">
        <v>3023</v>
      </c>
    </row>
    <row r="3508">
      <c r="A3508" s="56" t="s">
        <v>3024</v>
      </c>
    </row>
    <row r="3509">
      <c r="A3509" s="56" t="s">
        <v>3025</v>
      </c>
    </row>
    <row r="3510">
      <c r="A3510" s="56" t="s">
        <v>3026</v>
      </c>
    </row>
    <row r="3511">
      <c r="A3511" s="56" t="s">
        <v>3027</v>
      </c>
    </row>
    <row r="3512">
      <c r="A3512" s="56" t="s">
        <v>932</v>
      </c>
    </row>
    <row r="3514">
      <c r="A3514" s="56" t="s">
        <v>3029</v>
      </c>
    </row>
    <row r="3515">
      <c r="A3515" s="56" t="s">
        <v>3030</v>
      </c>
    </row>
    <row r="3516">
      <c r="A3516" s="56" t="s">
        <v>3031</v>
      </c>
    </row>
    <row r="3517">
      <c r="A3517" s="56" t="s">
        <v>3033</v>
      </c>
    </row>
    <row r="3519">
      <c r="A3519" s="56" t="s">
        <v>3036</v>
      </c>
    </row>
    <row r="3520">
      <c r="A3520" s="56" t="s">
        <v>3038</v>
      </c>
    </row>
    <row r="3521">
      <c r="A3521" s="56" t="s">
        <v>3039</v>
      </c>
    </row>
    <row r="3522">
      <c r="A3522" s="56" t="s">
        <v>3040</v>
      </c>
    </row>
    <row r="3523">
      <c r="A3523" s="56" t="s">
        <v>3041</v>
      </c>
    </row>
    <row r="3524">
      <c r="A3524" s="56" t="s">
        <v>3042</v>
      </c>
    </row>
    <row r="3525">
      <c r="A3525" s="56" t="s">
        <v>3043</v>
      </c>
    </row>
    <row r="3526">
      <c r="A3526" s="56" t="s">
        <v>3044</v>
      </c>
    </row>
    <row r="3527">
      <c r="A3527" s="56" t="s">
        <v>3045</v>
      </c>
    </row>
    <row r="3528">
      <c r="A3528" s="56" t="s">
        <v>3043</v>
      </c>
    </row>
    <row r="3529">
      <c r="A3529" s="56" t="s">
        <v>3047</v>
      </c>
    </row>
    <row r="3530">
      <c r="A3530" s="56" t="s">
        <v>1944</v>
      </c>
    </row>
    <row r="3531">
      <c r="A3531" s="56" t="s">
        <v>3043</v>
      </c>
    </row>
    <row r="3532">
      <c r="A3532" s="56" t="s">
        <v>3051</v>
      </c>
    </row>
    <row r="3533">
      <c r="A3533" s="56" t="s">
        <v>932</v>
      </c>
    </row>
    <row r="3534">
      <c r="A3534" s="56" t="s">
        <v>932</v>
      </c>
    </row>
    <row r="3535">
      <c r="A3535" s="56" t="s">
        <v>932</v>
      </c>
    </row>
    <row r="3537">
      <c r="A3537" s="56" t="s">
        <v>4452</v>
      </c>
    </row>
    <row r="3538">
      <c r="A3538" s="56" t="s">
        <v>3054</v>
      </c>
    </row>
    <row r="3539">
      <c r="A3539" s="56" t="s">
        <v>3056</v>
      </c>
    </row>
    <row r="3540">
      <c r="A3540" s="56" t="s">
        <v>3058</v>
      </c>
    </row>
    <row r="3541">
      <c r="A3541" s="56" t="s">
        <v>3060</v>
      </c>
    </row>
    <row r="3543">
      <c r="A3543" s="56" t="s">
        <v>4360</v>
      </c>
    </row>
    <row r="3544">
      <c r="A3544" s="56" t="s">
        <v>4453</v>
      </c>
    </row>
    <row r="3545">
      <c r="A3545" s="56" t="s">
        <v>4454</v>
      </c>
    </row>
    <row r="3546">
      <c r="A3546" s="56" t="s">
        <v>1944</v>
      </c>
    </row>
    <row r="3547">
      <c r="A3547" s="56" t="s">
        <v>4455</v>
      </c>
    </row>
    <row r="3548">
      <c r="A3548" s="56" t="s">
        <v>4456</v>
      </c>
    </row>
    <row r="3549">
      <c r="A3549" s="56" t="s">
        <v>4457</v>
      </c>
    </row>
    <row r="3550">
      <c r="A3550" s="56" t="s">
        <v>4458</v>
      </c>
    </row>
    <row r="3551">
      <c r="A3551" s="56" t="s">
        <v>4459</v>
      </c>
    </row>
    <row r="3552">
      <c r="A3552" s="56" t="s">
        <v>3063</v>
      </c>
    </row>
    <row r="3553">
      <c r="A3553" s="56" t="s">
        <v>4460</v>
      </c>
    </row>
    <row r="3554">
      <c r="A3554" s="56" t="s">
        <v>3067</v>
      </c>
    </row>
    <row r="3555">
      <c r="A3555" s="56" t="s">
        <v>3069</v>
      </c>
    </row>
    <row r="3556">
      <c r="A3556" s="56" t="s">
        <v>3071</v>
      </c>
    </row>
    <row r="3557">
      <c r="A3557" s="56" t="s">
        <v>932</v>
      </c>
    </row>
    <row r="3558">
      <c r="A3558" s="56" t="s">
        <v>4461</v>
      </c>
    </row>
    <row r="3559">
      <c r="A3559" s="56" t="s">
        <v>932</v>
      </c>
    </row>
    <row r="3561">
      <c r="A3561" s="56" t="s">
        <v>4360</v>
      </c>
    </row>
    <row r="3562">
      <c r="A3562" s="56" t="s">
        <v>4462</v>
      </c>
    </row>
    <row r="3563">
      <c r="A3563" s="56" t="s">
        <v>4463</v>
      </c>
    </row>
    <row r="3564">
      <c r="A3564" s="56" t="s">
        <v>4464</v>
      </c>
    </row>
    <row r="3565">
      <c r="A3565" s="56" t="s">
        <v>4465</v>
      </c>
    </row>
    <row r="3566">
      <c r="A3566" s="56" t="s">
        <v>4466</v>
      </c>
    </row>
    <row r="3567">
      <c r="A3567" s="56" t="s">
        <v>1944</v>
      </c>
    </row>
    <row r="3568">
      <c r="A3568" s="56" t="s">
        <v>3073</v>
      </c>
    </row>
    <row r="3569">
      <c r="A3569" s="56" t="s">
        <v>3074</v>
      </c>
    </row>
    <row r="3570">
      <c r="A3570" s="56" t="s">
        <v>932</v>
      </c>
    </row>
    <row r="3571">
      <c r="A3571" s="56" t="s">
        <v>932</v>
      </c>
    </row>
    <row r="3573">
      <c r="A3573" s="56" t="s">
        <v>4467</v>
      </c>
    </row>
    <row r="3574">
      <c r="A3574" s="56" t="s">
        <v>2991</v>
      </c>
    </row>
    <row r="3575">
      <c r="A3575" s="56" t="s">
        <v>2791</v>
      </c>
    </row>
    <row r="3576">
      <c r="A3576" s="56" t="s">
        <v>2844</v>
      </c>
    </row>
    <row r="3577">
      <c r="A3577" s="56" t="s">
        <v>3080</v>
      </c>
    </row>
    <row r="3578">
      <c r="A3578" s="56" t="s">
        <v>3082</v>
      </c>
    </row>
    <row r="3579">
      <c r="A3579" s="56" t="s">
        <v>3084</v>
      </c>
    </row>
    <row r="3580">
      <c r="A3580" s="56" t="s">
        <v>2945</v>
      </c>
    </row>
    <row r="3581">
      <c r="A3581" s="56" t="s">
        <v>3086</v>
      </c>
    </row>
    <row r="3582">
      <c r="A3582" s="56" t="s">
        <v>3087</v>
      </c>
    </row>
    <row r="3583">
      <c r="A3583" s="56" t="s">
        <v>932</v>
      </c>
    </row>
    <row r="3584">
      <c r="A3584" s="56" t="s">
        <v>4468</v>
      </c>
    </row>
    <row r="3585">
      <c r="A3585" s="56" t="s">
        <v>932</v>
      </c>
    </row>
    <row r="3586">
      <c r="A3586" s="56" t="s">
        <v>3098</v>
      </c>
    </row>
    <row r="3587">
      <c r="A3587" s="56" t="s">
        <v>4469</v>
      </c>
    </row>
    <row r="3588">
      <c r="A3588" s="56" t="s">
        <v>1929</v>
      </c>
    </row>
    <row r="3589">
      <c r="A3589" s="56" t="s">
        <v>1930</v>
      </c>
    </row>
    <row r="3590">
      <c r="A3590" s="56" t="s">
        <v>4470</v>
      </c>
    </row>
    <row r="3591">
      <c r="A3591" s="56" t="s">
        <v>2514</v>
      </c>
    </row>
    <row r="3592">
      <c r="A3592" s="56" t="s">
        <v>4471</v>
      </c>
    </row>
    <row r="3593">
      <c r="A3593" s="56" t="s">
        <v>3105</v>
      </c>
    </row>
    <row r="3594">
      <c r="A3594" s="56" t="s">
        <v>4472</v>
      </c>
    </row>
    <row r="3595">
      <c r="A3595" s="56" t="s">
        <v>1946</v>
      </c>
    </row>
    <row r="3596">
      <c r="A3596" s="56" t="s">
        <v>4473</v>
      </c>
    </row>
    <row r="3597">
      <c r="A3597" s="56" t="s">
        <v>4474</v>
      </c>
    </row>
    <row r="3598">
      <c r="A3598" s="56" t="s">
        <v>932</v>
      </c>
    </row>
    <row r="3600">
      <c r="A3600" s="56" t="s">
        <v>3076</v>
      </c>
    </row>
    <row r="3601">
      <c r="A3601" s="56" t="s">
        <v>2991</v>
      </c>
    </row>
    <row r="3602">
      <c r="A3602" s="56" t="s">
        <v>2791</v>
      </c>
    </row>
    <row r="3603">
      <c r="A3603" s="56" t="s">
        <v>3021</v>
      </c>
    </row>
    <row r="3604">
      <c r="A3604" s="56" t="s">
        <v>2844</v>
      </c>
    </row>
    <row r="3605">
      <c r="A3605" s="56" t="s">
        <v>3080</v>
      </c>
    </row>
    <row r="3606">
      <c r="A3606" s="56" t="s">
        <v>3082</v>
      </c>
    </row>
    <row r="3607">
      <c r="A3607" s="56" t="s">
        <v>3084</v>
      </c>
    </row>
    <row r="3608">
      <c r="A3608" s="56" t="s">
        <v>2945</v>
      </c>
    </row>
    <row r="3609">
      <c r="A3609" s="56" t="s">
        <v>3086</v>
      </c>
    </row>
    <row r="3610">
      <c r="A3610" s="56" t="s">
        <v>3087</v>
      </c>
    </row>
    <row r="3611">
      <c r="A3611" s="56" t="s">
        <v>932</v>
      </c>
    </row>
    <row r="3612">
      <c r="A3612" s="56" t="s">
        <v>3088</v>
      </c>
    </row>
    <row r="3613">
      <c r="A3613" s="56" t="s">
        <v>3023</v>
      </c>
    </row>
    <row r="3614">
      <c r="A3614" s="56" t="s">
        <v>3089</v>
      </c>
    </row>
    <row r="3615">
      <c r="A3615" s="56" t="s">
        <v>3091</v>
      </c>
    </row>
    <row r="3616">
      <c r="A3616" s="56" t="s">
        <v>932</v>
      </c>
    </row>
    <row r="3617">
      <c r="A3617" s="56" t="s">
        <v>3092</v>
      </c>
    </row>
    <row r="3618">
      <c r="A3618" s="56" t="s">
        <v>3093</v>
      </c>
    </row>
    <row r="3619">
      <c r="A3619" s="56" t="s">
        <v>3094</v>
      </c>
    </row>
    <row r="3620">
      <c r="A3620" s="56" t="s">
        <v>3095</v>
      </c>
    </row>
    <row r="3621">
      <c r="A3621" s="56" t="s">
        <v>3097</v>
      </c>
    </row>
    <row r="3622">
      <c r="A3622" s="56" t="s">
        <v>932</v>
      </c>
    </row>
    <row r="3623">
      <c r="A3623" s="56" t="s">
        <v>3098</v>
      </c>
    </row>
    <row r="3624">
      <c r="A3624" s="56" t="s">
        <v>3099</v>
      </c>
    </row>
    <row r="3625">
      <c r="A3625" s="56" t="s">
        <v>1929</v>
      </c>
    </row>
    <row r="3626">
      <c r="A3626" s="56" t="s">
        <v>1930</v>
      </c>
    </row>
    <row r="3627">
      <c r="A3627" s="56" t="s">
        <v>3101</v>
      </c>
    </row>
    <row r="3628">
      <c r="A3628" s="56" t="s">
        <v>2514</v>
      </c>
    </row>
    <row r="3629">
      <c r="A3629" s="56" t="s">
        <v>3103</v>
      </c>
    </row>
    <row r="3630">
      <c r="A3630" s="56" t="s">
        <v>3105</v>
      </c>
    </row>
    <row r="3631">
      <c r="A3631" s="56" t="s">
        <v>3106</v>
      </c>
    </row>
    <row r="3632">
      <c r="A3632" s="56" t="s">
        <v>1946</v>
      </c>
    </row>
    <row r="3633">
      <c r="A3633" s="56" t="s">
        <v>3109</v>
      </c>
    </row>
    <row r="3634">
      <c r="A3634" s="56" t="s">
        <v>3111</v>
      </c>
    </row>
    <row r="3635">
      <c r="A3635" s="56" t="s">
        <v>932</v>
      </c>
    </row>
    <row r="3637">
      <c r="A3637" s="56" t="s">
        <v>3113</v>
      </c>
    </row>
    <row r="3639">
      <c r="A3639" s="56" t="s">
        <v>3114</v>
      </c>
    </row>
    <row r="3640">
      <c r="A3640" s="56" t="s">
        <v>1929</v>
      </c>
    </row>
    <row r="3641">
      <c r="A3641" s="56" t="s">
        <v>3116</v>
      </c>
    </row>
    <row r="3642">
      <c r="A3642" s="56" t="s">
        <v>3117</v>
      </c>
    </row>
    <row r="3643">
      <c r="A3643" s="56" t="s">
        <v>3118</v>
      </c>
    </row>
    <row r="3644">
      <c r="A3644" s="56" t="s">
        <v>932</v>
      </c>
    </row>
    <row r="3646">
      <c r="A3646" s="56" t="s">
        <v>3122</v>
      </c>
    </row>
    <row r="3647">
      <c r="A3647" s="56" t="s">
        <v>3123</v>
      </c>
    </row>
    <row r="3648">
      <c r="A3648" s="56" t="s">
        <v>3124</v>
      </c>
    </row>
    <row r="3649">
      <c r="A3649" s="56" t="s">
        <v>3126</v>
      </c>
    </row>
    <row r="3650">
      <c r="A3650" s="56" t="s">
        <v>3127</v>
      </c>
    </row>
    <row r="3651">
      <c r="A3651" s="56" t="s">
        <v>3128</v>
      </c>
    </row>
    <row r="3652">
      <c r="A3652" s="56" t="s">
        <v>932</v>
      </c>
    </row>
    <row r="3654">
      <c r="A3654" s="56" t="s">
        <v>3132</v>
      </c>
    </row>
    <row r="3655">
      <c r="A3655" s="56" t="s">
        <v>3133</v>
      </c>
    </row>
    <row r="3656">
      <c r="A3656" s="56" t="s">
        <v>3134</v>
      </c>
    </row>
    <row r="3657">
      <c r="A3657" s="56" t="s">
        <v>3135</v>
      </c>
    </row>
    <row r="3658">
      <c r="A3658" s="56" t="s">
        <v>1929</v>
      </c>
    </row>
    <row r="3659">
      <c r="A3659" s="56" t="s">
        <v>3137</v>
      </c>
    </row>
    <row r="3660">
      <c r="A3660" s="56" t="s">
        <v>3138</v>
      </c>
    </row>
    <row r="3661">
      <c r="A3661" s="56" t="s">
        <v>3139</v>
      </c>
    </row>
    <row r="3662">
      <c r="A3662" s="56" t="s">
        <v>932</v>
      </c>
    </row>
    <row r="3663">
      <c r="A3663" s="56" t="s">
        <v>3140</v>
      </c>
    </row>
    <row r="3664">
      <c r="A3664" s="56" t="s">
        <v>3141</v>
      </c>
    </row>
    <row r="3665">
      <c r="A3665" s="56" t="s">
        <v>4475</v>
      </c>
    </row>
    <row r="3666">
      <c r="A3666" s="56" t="s">
        <v>4476</v>
      </c>
    </row>
    <row r="3667">
      <c r="A3667" s="56" t="s">
        <v>3146</v>
      </c>
    </row>
    <row r="3668">
      <c r="A3668" s="56" t="s">
        <v>3147</v>
      </c>
    </row>
    <row r="3669">
      <c r="A3669" s="56" t="s">
        <v>3148</v>
      </c>
    </row>
    <row r="3670">
      <c r="A3670" s="56" t="s">
        <v>3150</v>
      </c>
    </row>
    <row r="3671">
      <c r="A3671" s="56" t="s">
        <v>3151</v>
      </c>
    </row>
    <row r="3672">
      <c r="A3672" s="56" t="s">
        <v>3152</v>
      </c>
    </row>
    <row r="3673">
      <c r="A3673" s="56" t="s">
        <v>3154</v>
      </c>
    </row>
    <row r="3674">
      <c r="A3674" s="56" t="s">
        <v>4477</v>
      </c>
    </row>
    <row r="3675">
      <c r="A3675" s="56" t="s">
        <v>3158</v>
      </c>
    </row>
    <row r="3676">
      <c r="A3676" s="56" t="s">
        <v>4478</v>
      </c>
    </row>
    <row r="3677">
      <c r="A3677" s="56" t="s">
        <v>3162</v>
      </c>
    </row>
    <row r="3678">
      <c r="A3678" s="56" t="s">
        <v>3163</v>
      </c>
    </row>
    <row r="3679">
      <c r="A3679" s="56" t="s">
        <v>3165</v>
      </c>
    </row>
    <row r="3680">
      <c r="A3680" s="56" t="s">
        <v>3166</v>
      </c>
    </row>
    <row r="3681">
      <c r="A3681" s="56" t="s">
        <v>4479</v>
      </c>
    </row>
    <row r="3682">
      <c r="A3682" s="56" t="s">
        <v>2215</v>
      </c>
    </row>
    <row r="3683">
      <c r="A3683" s="56" t="s">
        <v>2217</v>
      </c>
    </row>
    <row r="3684">
      <c r="A3684" s="56" t="s">
        <v>932</v>
      </c>
    </row>
    <row r="3685">
      <c r="A3685" s="56" t="s">
        <v>2218</v>
      </c>
    </row>
    <row r="3686">
      <c r="A3686" s="56" t="s">
        <v>3172</v>
      </c>
    </row>
    <row r="3687">
      <c r="A3687" s="56" t="s">
        <v>932</v>
      </c>
    </row>
    <row r="3689">
      <c r="A3689" s="56" t="s">
        <v>3175</v>
      </c>
    </row>
    <row r="3690">
      <c r="A3690" s="56" t="s">
        <v>3176</v>
      </c>
    </row>
    <row r="3691">
      <c r="A3691" s="56" t="s">
        <v>3178</v>
      </c>
    </row>
    <row r="3692">
      <c r="A3692" s="56" t="s">
        <v>3179</v>
      </c>
    </row>
    <row r="3693">
      <c r="A3693" s="56" t="s">
        <v>2791</v>
      </c>
    </row>
    <row r="3694">
      <c r="A3694" s="56" t="s">
        <v>4475</v>
      </c>
    </row>
    <row r="3696">
      <c r="A3696" s="56" t="s">
        <v>4480</v>
      </c>
    </row>
    <row r="3697">
      <c r="A3697" s="56" t="s">
        <v>1493</v>
      </c>
    </row>
    <row r="3698">
      <c r="A3698" s="56" t="s">
        <v>3186</v>
      </c>
    </row>
    <row r="3699">
      <c r="A3699" s="56" t="s">
        <v>3188</v>
      </c>
    </row>
    <row r="3700">
      <c r="A3700" s="56" t="s">
        <v>1431</v>
      </c>
    </row>
    <row r="3701">
      <c r="A3701" s="56" t="s">
        <v>3190</v>
      </c>
    </row>
    <row r="3702">
      <c r="A3702" s="56" t="s">
        <v>2080</v>
      </c>
    </row>
    <row r="3704">
      <c r="A3704" s="56" t="s">
        <v>4481</v>
      </c>
    </row>
    <row r="3705">
      <c r="A3705" s="56" t="s">
        <v>4482</v>
      </c>
    </row>
    <row r="3706">
      <c r="A3706" s="56" t="s">
        <v>3193</v>
      </c>
    </row>
    <row r="3707">
      <c r="A3707" s="56" t="s">
        <v>3195</v>
      </c>
    </row>
    <row r="3708">
      <c r="A3708" s="56" t="s">
        <v>1431</v>
      </c>
    </row>
    <row r="3709">
      <c r="A3709" s="56" t="s">
        <v>4482</v>
      </c>
    </row>
    <row r="3710">
      <c r="A3710" s="56" t="s">
        <v>3197</v>
      </c>
    </row>
    <row r="3711">
      <c r="A3711" s="56" t="s">
        <v>3198</v>
      </c>
    </row>
    <row r="3712">
      <c r="A3712" s="56" t="s">
        <v>1431</v>
      </c>
    </row>
    <row r="3713">
      <c r="A3713" s="56" t="s">
        <v>4482</v>
      </c>
    </row>
    <row r="3714">
      <c r="A3714" s="56" t="s">
        <v>3201</v>
      </c>
    </row>
    <row r="3715">
      <c r="A3715" s="56" t="s">
        <v>3202</v>
      </c>
    </row>
    <row r="3716">
      <c r="A3716" s="56" t="s">
        <v>1431</v>
      </c>
    </row>
    <row r="3717">
      <c r="A3717" s="56" t="s">
        <v>2080</v>
      </c>
    </row>
    <row r="3719">
      <c r="A3719" s="56" t="s">
        <v>3205</v>
      </c>
    </row>
    <row r="3720">
      <c r="A3720" s="56" t="s">
        <v>3206</v>
      </c>
    </row>
    <row r="3721">
      <c r="A3721" s="56" t="s">
        <v>3207</v>
      </c>
    </row>
    <row r="3722">
      <c r="A3722" s="56" t="s">
        <v>4483</v>
      </c>
    </row>
    <row r="3723">
      <c r="A3723" s="56" t="s">
        <v>4484</v>
      </c>
    </row>
    <row r="3724">
      <c r="A3724" s="56" t="s">
        <v>4485</v>
      </c>
    </row>
    <row r="3725">
      <c r="A3725" s="56" t="s">
        <v>4486</v>
      </c>
    </row>
    <row r="3726">
      <c r="A3726" s="56" t="s">
        <v>4487</v>
      </c>
    </row>
    <row r="3727">
      <c r="A3727" s="56" t="s">
        <v>2080</v>
      </c>
    </row>
    <row r="3728">
      <c r="A3728" s="56" t="s">
        <v>932</v>
      </c>
    </row>
    <row r="3730">
      <c r="A3730" s="56" t="s">
        <v>2929</v>
      </c>
    </row>
    <row r="3731">
      <c r="A3731" s="56" t="s">
        <v>2931</v>
      </c>
    </row>
    <row r="3732">
      <c r="A3732" s="56" t="s">
        <v>4488</v>
      </c>
    </row>
    <row r="3733">
      <c r="A3733" s="56" t="s">
        <v>4489</v>
      </c>
    </row>
    <row r="3734">
      <c r="A3734" s="56" t="s">
        <v>3220</v>
      </c>
    </row>
    <row r="3735">
      <c r="A3735" s="56" t="s">
        <v>3222</v>
      </c>
    </row>
    <row r="3736">
      <c r="A3736" s="56" t="s">
        <v>1431</v>
      </c>
    </row>
    <row r="3737">
      <c r="A3737" s="56" t="s">
        <v>4490</v>
      </c>
    </row>
    <row r="3738">
      <c r="A3738" s="56" t="s">
        <v>4491</v>
      </c>
    </row>
    <row r="3739">
      <c r="A3739" s="56" t="s">
        <v>3226</v>
      </c>
    </row>
    <row r="3740">
      <c r="A3740" s="56" t="s">
        <v>4492</v>
      </c>
    </row>
    <row r="3741">
      <c r="A3741" s="56" t="s">
        <v>1666</v>
      </c>
    </row>
    <row r="3742">
      <c r="A3742" s="56" t="s">
        <v>2264</v>
      </c>
    </row>
    <row r="3743">
      <c r="A3743" s="56" t="s">
        <v>2266</v>
      </c>
    </row>
    <row r="3744">
      <c r="A3744" s="56" t="s">
        <v>3232</v>
      </c>
    </row>
    <row r="3745">
      <c r="A3745" s="56" t="s">
        <v>3234</v>
      </c>
    </row>
    <row r="3746">
      <c r="A3746" s="56" t="s">
        <v>3235</v>
      </c>
    </row>
    <row r="3747">
      <c r="A3747" s="56" t="s">
        <v>2217</v>
      </c>
    </row>
    <row r="3749">
      <c r="A3749" s="56" t="s">
        <v>3205</v>
      </c>
    </row>
    <row r="3750">
      <c r="A3750" s="56" t="s">
        <v>3238</v>
      </c>
    </row>
    <row r="3751">
      <c r="A3751" s="56" t="s">
        <v>3239</v>
      </c>
    </row>
    <row r="3752">
      <c r="A3752" s="56" t="s">
        <v>3240</v>
      </c>
    </row>
    <row r="3753">
      <c r="A3753" s="56" t="s">
        <v>3241</v>
      </c>
    </row>
    <row r="3754">
      <c r="A3754" s="56" t="s">
        <v>2217</v>
      </c>
    </row>
    <row r="3756">
      <c r="A3756" s="56" t="s">
        <v>3245</v>
      </c>
    </row>
    <row r="3757">
      <c r="A3757" s="56" t="s">
        <v>3246</v>
      </c>
    </row>
    <row r="3759">
      <c r="A3759" s="56" t="s">
        <v>3247</v>
      </c>
    </row>
    <row r="3760">
      <c r="A3760" s="56" t="s">
        <v>3248</v>
      </c>
    </row>
    <row r="3761">
      <c r="A3761" s="56" t="s">
        <v>3249</v>
      </c>
    </row>
    <row r="3762">
      <c r="A3762" s="56" t="s">
        <v>3250</v>
      </c>
    </row>
    <row r="3763">
      <c r="A3763" s="56" t="s">
        <v>2945</v>
      </c>
    </row>
    <row r="3764">
      <c r="A3764" s="56" t="s">
        <v>3251</v>
      </c>
    </row>
    <row r="3765">
      <c r="A3765" s="56" t="s">
        <v>3253</v>
      </c>
    </row>
    <row r="3766">
      <c r="A3766" s="56" t="s">
        <v>3254</v>
      </c>
    </row>
    <row r="3767">
      <c r="A3767" s="56" t="s">
        <v>3255</v>
      </c>
    </row>
    <row r="3768">
      <c r="A3768" s="56" t="s">
        <v>932</v>
      </c>
    </row>
    <row r="3769">
      <c r="A3769" s="56" t="s">
        <v>3258</v>
      </c>
    </row>
    <row r="3770">
      <c r="A3770" s="56" t="s">
        <v>932</v>
      </c>
    </row>
    <row r="3771">
      <c r="A3771" s="56" t="s">
        <v>932</v>
      </c>
    </row>
    <row r="3772">
      <c r="A3772" s="56" t="s">
        <v>2218</v>
      </c>
    </row>
    <row r="3774">
      <c r="A3774" s="56" t="s">
        <v>3260</v>
      </c>
    </row>
    <row r="3775">
      <c r="A3775" s="56" t="s">
        <v>3261</v>
      </c>
    </row>
    <row r="3776">
      <c r="A3776" s="56" t="s">
        <v>3262</v>
      </c>
    </row>
    <row r="3777">
      <c r="A3777" s="56" t="s">
        <v>3263</v>
      </c>
    </row>
    <row r="3778">
      <c r="A3778" s="56" t="s">
        <v>4493</v>
      </c>
    </row>
    <row r="3779">
      <c r="A3779" s="56" t="s">
        <v>3265</v>
      </c>
    </row>
    <row r="3780">
      <c r="A3780" s="56" t="s">
        <v>3267</v>
      </c>
    </row>
    <row r="3781">
      <c r="A3781" s="56" t="s">
        <v>3269</v>
      </c>
    </row>
    <row r="3782">
      <c r="A3782" s="56" t="s">
        <v>3270</v>
      </c>
    </row>
    <row r="3784">
      <c r="A3784" s="56" t="s">
        <v>4494</v>
      </c>
    </row>
    <row r="3785">
      <c r="A3785" s="56" t="s">
        <v>4495</v>
      </c>
    </row>
    <row r="3786">
      <c r="A3786" s="56" t="s">
        <v>4496</v>
      </c>
    </row>
    <row r="3788">
      <c r="A3788" s="56" t="s">
        <v>3275</v>
      </c>
    </row>
    <row r="3789">
      <c r="A3789" s="56" t="s">
        <v>3277</v>
      </c>
    </row>
    <row r="3790">
      <c r="A3790" s="56" t="s">
        <v>3278</v>
      </c>
    </row>
    <row r="3791">
      <c r="A3791" s="56" t="s">
        <v>932</v>
      </c>
    </row>
    <row r="3792">
      <c r="A3792" s="56" t="s">
        <v>4497</v>
      </c>
    </row>
    <row r="3793">
      <c r="A3793" s="56" t="s">
        <v>3275</v>
      </c>
    </row>
    <row r="3794">
      <c r="A3794" s="56" t="s">
        <v>4498</v>
      </c>
    </row>
    <row r="3795">
      <c r="A3795" s="56" t="s">
        <v>932</v>
      </c>
    </row>
    <row r="3796">
      <c r="A3796" s="56" t="s">
        <v>3281</v>
      </c>
    </row>
    <row r="3798">
      <c r="A3798" s="56" t="s">
        <v>3282</v>
      </c>
    </row>
    <row r="3799">
      <c r="A3799" s="56" t="s">
        <v>3283</v>
      </c>
    </row>
    <row r="3800">
      <c r="A3800" s="56" t="s">
        <v>3284</v>
      </c>
    </row>
    <row r="3801">
      <c r="A3801" s="56" t="s">
        <v>4499</v>
      </c>
    </row>
    <row r="3802">
      <c r="A3802" s="56" t="s">
        <v>3286</v>
      </c>
    </row>
    <row r="3803">
      <c r="A3803" s="56" t="s">
        <v>2080</v>
      </c>
    </row>
    <row r="3804">
      <c r="A3804" s="56" t="s">
        <v>932</v>
      </c>
    </row>
    <row r="3805">
      <c r="A3805" s="56" t="s">
        <v>3281</v>
      </c>
    </row>
    <row r="3806">
      <c r="A3806" s="56" t="s">
        <v>932</v>
      </c>
    </row>
    <row r="3807">
      <c r="A3807" s="56" t="s">
        <v>3292</v>
      </c>
    </row>
    <row r="3808">
      <c r="A3808" s="56" t="s">
        <v>932</v>
      </c>
    </row>
    <row r="3810">
      <c r="A3810" s="56" t="s">
        <v>4500</v>
      </c>
    </row>
    <row r="3811">
      <c r="A3811" s="56" t="s">
        <v>4501</v>
      </c>
    </row>
    <row r="3812">
      <c r="A3812" s="56" t="s">
        <v>4502</v>
      </c>
    </row>
    <row r="3814">
      <c r="A3814" s="56" t="s">
        <v>3299</v>
      </c>
    </row>
    <row r="3815">
      <c r="A3815" s="56" t="s">
        <v>3300</v>
      </c>
    </row>
    <row r="3816">
      <c r="A3816" s="56" t="s">
        <v>3301</v>
      </c>
    </row>
    <row r="3817">
      <c r="A3817" s="56" t="s">
        <v>3302</v>
      </c>
    </row>
    <row r="3818">
      <c r="A3818" s="56" t="s">
        <v>4503</v>
      </c>
    </row>
    <row r="3819">
      <c r="A3819" s="56" t="s">
        <v>4504</v>
      </c>
    </row>
    <row r="3820">
      <c r="A3820" s="56" t="s">
        <v>4118</v>
      </c>
    </row>
    <row r="3821">
      <c r="A3821" s="56" t="s">
        <v>4505</v>
      </c>
    </row>
    <row r="3822">
      <c r="A3822" s="56" t="s">
        <v>4506</v>
      </c>
    </row>
    <row r="3823">
      <c r="A3823" s="56" t="s">
        <v>4507</v>
      </c>
    </row>
    <row r="3824">
      <c r="A3824" s="56" t="s">
        <v>3311</v>
      </c>
    </row>
    <row r="3825">
      <c r="A3825" s="56" t="s">
        <v>932</v>
      </c>
    </row>
    <row r="3826">
      <c r="A3826" s="56" t="s">
        <v>3314</v>
      </c>
    </row>
    <row r="3827">
      <c r="A3827" s="56" t="s">
        <v>3316</v>
      </c>
    </row>
    <row r="3828">
      <c r="A3828" s="56" t="s">
        <v>932</v>
      </c>
    </row>
    <row r="3830">
      <c r="A3830" s="56" t="s">
        <v>3319</v>
      </c>
    </row>
    <row r="3831">
      <c r="A3831" s="56" t="s">
        <v>3321</v>
      </c>
    </row>
    <row r="3832">
      <c r="A3832" s="56" t="s">
        <v>1929</v>
      </c>
    </row>
    <row r="3833">
      <c r="A3833" s="56" t="s">
        <v>3324</v>
      </c>
    </row>
    <row r="3834">
      <c r="A3834" s="56" t="s">
        <v>3326</v>
      </c>
    </row>
    <row r="3835">
      <c r="A3835" s="56" t="s">
        <v>3118</v>
      </c>
    </row>
    <row r="3836">
      <c r="A3836" s="56" t="s">
        <v>932</v>
      </c>
    </row>
    <row r="3837">
      <c r="A3837" s="56" t="s">
        <v>3327</v>
      </c>
    </row>
    <row r="3838">
      <c r="A3838" s="56" t="s">
        <v>3329</v>
      </c>
    </row>
    <row r="3839">
      <c r="A3839" s="56" t="s">
        <v>3330</v>
      </c>
    </row>
    <row r="3840">
      <c r="A3840" s="56" t="s">
        <v>3332</v>
      </c>
    </row>
    <row r="3841">
      <c r="A3841" s="56" t="s">
        <v>2957</v>
      </c>
    </row>
    <row r="3842">
      <c r="A3842" s="56" t="s">
        <v>3335</v>
      </c>
    </row>
    <row r="3843">
      <c r="A3843" s="56" t="s">
        <v>3337</v>
      </c>
    </row>
    <row r="3844">
      <c r="A3844" s="56" t="s">
        <v>3339</v>
      </c>
    </row>
    <row r="3845">
      <c r="A3845" s="56" t="s">
        <v>3341</v>
      </c>
    </row>
    <row r="3846">
      <c r="A3846" s="56" t="s">
        <v>3343</v>
      </c>
    </row>
    <row r="3847">
      <c r="A3847" s="56" t="s">
        <v>3344</v>
      </c>
    </row>
    <row r="3848">
      <c r="A3848" s="56" t="s">
        <v>2967</v>
      </c>
    </row>
    <row r="3849">
      <c r="A3849" s="56" t="s">
        <v>3346</v>
      </c>
    </row>
    <row r="3851">
      <c r="A3851" s="56" t="s">
        <v>3349</v>
      </c>
    </row>
    <row r="3852">
      <c r="A3852" s="56" t="s">
        <v>3351</v>
      </c>
    </row>
    <row r="3853">
      <c r="A3853" s="56" t="s">
        <v>3352</v>
      </c>
    </row>
    <row r="3854">
      <c r="A3854" s="56" t="s">
        <v>3353</v>
      </c>
    </row>
    <row r="3855">
      <c r="A3855" s="56" t="s">
        <v>3355</v>
      </c>
    </row>
    <row r="3856">
      <c r="A3856" s="56" t="s">
        <v>3357</v>
      </c>
    </row>
    <row r="3857">
      <c r="A3857" s="56" t="s">
        <v>3359</v>
      </c>
    </row>
    <row r="3858">
      <c r="A3858" s="56" t="s">
        <v>3360</v>
      </c>
    </row>
    <row r="3859">
      <c r="A3859" s="56" t="s">
        <v>1431</v>
      </c>
    </row>
    <row r="3860">
      <c r="A3860" s="56" t="s">
        <v>3362</v>
      </c>
    </row>
    <row r="3861">
      <c r="A3861" s="56" t="s">
        <v>2080</v>
      </c>
    </row>
    <row r="3862">
      <c r="A3862" s="56" t="s">
        <v>932</v>
      </c>
    </row>
    <row r="3863">
      <c r="A3863" s="56" t="s">
        <v>3364</v>
      </c>
    </row>
    <row r="3865">
      <c r="A3865" s="56" t="s">
        <v>3366</v>
      </c>
    </row>
    <row r="3866">
      <c r="A3866" s="56" t="s">
        <v>3368</v>
      </c>
    </row>
    <row r="3867">
      <c r="A3867" s="56" t="s">
        <v>3370</v>
      </c>
    </row>
    <row r="3868">
      <c r="A3868" s="56" t="s">
        <v>3372</v>
      </c>
    </row>
    <row r="3869">
      <c r="A3869" s="56" t="s">
        <v>4508</v>
      </c>
    </row>
    <row r="3870">
      <c r="A3870" s="56" t="s">
        <v>3374</v>
      </c>
    </row>
    <row r="3871">
      <c r="A3871" s="56" t="s">
        <v>3375</v>
      </c>
    </row>
    <row r="3872">
      <c r="A3872" s="56" t="s">
        <v>3376</v>
      </c>
    </row>
    <row r="3873">
      <c r="A3873" s="56" t="s">
        <v>3377</v>
      </c>
    </row>
    <row r="3874">
      <c r="A3874" s="56" t="s">
        <v>3378</v>
      </c>
    </row>
    <row r="3875">
      <c r="A3875" s="56" t="s">
        <v>3379</v>
      </c>
    </row>
    <row r="3876">
      <c r="A3876" s="56" t="s">
        <v>3380</v>
      </c>
    </row>
    <row r="3877">
      <c r="A3877" s="56" t="s">
        <v>3382</v>
      </c>
    </row>
    <row r="3879">
      <c r="A3879" s="56" t="s">
        <v>3383</v>
      </c>
    </row>
    <row r="3880">
      <c r="A3880" s="56" t="s">
        <v>3385</v>
      </c>
    </row>
    <row r="3881">
      <c r="A3881" s="56" t="s">
        <v>3387</v>
      </c>
    </row>
    <row r="3882">
      <c r="A3882" s="56" t="s">
        <v>3388</v>
      </c>
    </row>
    <row r="3883">
      <c r="A3883" s="56" t="s">
        <v>3389</v>
      </c>
    </row>
    <row r="3884">
      <c r="A3884" s="56" t="s">
        <v>3390</v>
      </c>
    </row>
    <row r="3885">
      <c r="A3885" s="56" t="s">
        <v>3392</v>
      </c>
    </row>
    <row r="3886">
      <c r="A3886" s="56" t="s">
        <v>3393</v>
      </c>
    </row>
    <row r="3887">
      <c r="A3887" s="56" t="s">
        <v>3394</v>
      </c>
    </row>
    <row r="3888">
      <c r="A3888" s="56" t="s">
        <v>3395</v>
      </c>
    </row>
    <row r="3889">
      <c r="A3889" s="56" t="s">
        <v>2915</v>
      </c>
    </row>
    <row r="3890">
      <c r="A3890" s="56" t="s">
        <v>3397</v>
      </c>
    </row>
    <row r="3891">
      <c r="A3891" s="56" t="s">
        <v>3398</v>
      </c>
    </row>
    <row r="3892">
      <c r="A3892" s="56" t="s">
        <v>1431</v>
      </c>
    </row>
    <row r="3893">
      <c r="A3893" s="56" t="s">
        <v>3399</v>
      </c>
    </row>
    <row r="3894">
      <c r="A3894" s="56" t="s">
        <v>1431</v>
      </c>
    </row>
    <row r="3895">
      <c r="A3895" s="56" t="s">
        <v>3402</v>
      </c>
    </row>
    <row r="3896">
      <c r="A3896" s="56" t="s">
        <v>2217</v>
      </c>
    </row>
    <row r="3897">
      <c r="A3897" s="56" t="s">
        <v>932</v>
      </c>
    </row>
    <row r="3898">
      <c r="A3898" s="56" t="s">
        <v>3403</v>
      </c>
    </row>
    <row r="3899">
      <c r="A3899" s="56" t="s">
        <v>932</v>
      </c>
    </row>
    <row r="3900">
      <c r="A3900" s="56" t="s">
        <v>4509</v>
      </c>
    </row>
    <row r="3901">
      <c r="A3901" s="56" t="s">
        <v>932</v>
      </c>
    </row>
    <row r="3903">
      <c r="A3903" s="56" t="s">
        <v>1829</v>
      </c>
    </row>
    <row r="3904">
      <c r="A3904" s="56" t="s">
        <v>3406</v>
      </c>
    </row>
    <row r="3905">
      <c r="A3905" s="56" t="s">
        <v>1829</v>
      </c>
    </row>
    <row r="3906">
      <c r="A3906" s="56" t="s">
        <v>3408</v>
      </c>
    </row>
    <row r="3907">
      <c r="A3907" s="56" t="s">
        <v>3409</v>
      </c>
    </row>
    <row r="3908">
      <c r="A3908" s="56" t="s">
        <v>3410</v>
      </c>
    </row>
    <row r="3909">
      <c r="A3909" s="56" t="s">
        <v>3411</v>
      </c>
    </row>
    <row r="3910">
      <c r="A3910" s="56" t="s">
        <v>932</v>
      </c>
    </row>
    <row r="3911">
      <c r="A3911" s="56" t="s">
        <v>3413</v>
      </c>
    </row>
    <row r="3912">
      <c r="A3912" s="56" t="s">
        <v>3414</v>
      </c>
    </row>
    <row r="3913">
      <c r="A3913" s="56" t="s">
        <v>3416</v>
      </c>
    </row>
    <row r="3915">
      <c r="A3915" s="56" t="s">
        <v>3418</v>
      </c>
    </row>
    <row r="3916">
      <c r="A3916" s="56" t="s">
        <v>3419</v>
      </c>
    </row>
    <row r="3917">
      <c r="A3917" s="56" t="s">
        <v>3420</v>
      </c>
    </row>
    <row r="3918">
      <c r="A3918" s="56" t="s">
        <v>3421</v>
      </c>
    </row>
    <row r="3919">
      <c r="A3919" s="56" t="s">
        <v>3423</v>
      </c>
    </row>
    <row r="3921">
      <c r="A3921" s="56" t="s">
        <v>3425</v>
      </c>
    </row>
    <row r="3922">
      <c r="A3922" s="56" t="s">
        <v>3427</v>
      </c>
    </row>
    <row r="3923">
      <c r="A3923" s="56" t="s">
        <v>3429</v>
      </c>
    </row>
    <row r="3925">
      <c r="A3925" s="56" t="s">
        <v>3431</v>
      </c>
    </row>
    <row r="3926">
      <c r="A3926" s="56" t="s">
        <v>3433</v>
      </c>
    </row>
    <row r="3927">
      <c r="A3927" s="56" t="s">
        <v>3435</v>
      </c>
    </row>
    <row r="3928">
      <c r="A3928" s="56" t="s">
        <v>3436</v>
      </c>
    </row>
    <row r="3929">
      <c r="A3929" s="56" t="s">
        <v>3438</v>
      </c>
    </row>
    <row r="3930">
      <c r="A3930" s="56" t="s">
        <v>1431</v>
      </c>
    </row>
    <row r="3931">
      <c r="A3931" s="56" t="s">
        <v>3441</v>
      </c>
    </row>
    <row r="3932">
      <c r="A3932" s="56" t="s">
        <v>3442</v>
      </c>
    </row>
    <row r="3934">
      <c r="A3934" s="56" t="s">
        <v>3443</v>
      </c>
    </row>
    <row r="3935">
      <c r="A3935" s="56" t="s">
        <v>3444</v>
      </c>
    </row>
    <row r="3936">
      <c r="A3936" s="56" t="s">
        <v>3445</v>
      </c>
    </row>
    <row r="3937">
      <c r="A3937" s="56" t="s">
        <v>3446</v>
      </c>
    </row>
    <row r="3938">
      <c r="A3938" s="56" t="s">
        <v>3447</v>
      </c>
    </row>
    <row r="3939">
      <c r="A3939" s="56" t="s">
        <v>3448</v>
      </c>
    </row>
    <row r="3941">
      <c r="A3941" s="56" t="s">
        <v>3449</v>
      </c>
    </row>
    <row r="3942">
      <c r="A3942" s="56" t="s">
        <v>3450</v>
      </c>
    </row>
    <row r="3943">
      <c r="A3943" s="56" t="s">
        <v>3451</v>
      </c>
    </row>
    <row r="3944">
      <c r="A3944" s="56" t="s">
        <v>3452</v>
      </c>
    </row>
    <row r="3945">
      <c r="A3945" s="56" t="s">
        <v>3453</v>
      </c>
    </row>
    <row r="3946">
      <c r="A3946" s="56" t="s">
        <v>3454</v>
      </c>
    </row>
    <row r="3947">
      <c r="A3947" s="56" t="s">
        <v>3455</v>
      </c>
    </row>
    <row r="3948">
      <c r="A3948" s="56" t="s">
        <v>3456</v>
      </c>
    </row>
    <row r="3949">
      <c r="A3949" s="56" t="s">
        <v>3457</v>
      </c>
    </row>
    <row r="3950">
      <c r="A3950" s="56" t="s">
        <v>1870</v>
      </c>
    </row>
    <row r="3951">
      <c r="A3951" s="56" t="s">
        <v>3458</v>
      </c>
    </row>
    <row r="3952">
      <c r="A3952" s="56" t="s">
        <v>3459</v>
      </c>
    </row>
    <row r="3953">
      <c r="A3953" s="56" t="s">
        <v>3460</v>
      </c>
    </row>
    <row r="3954">
      <c r="A3954" s="56" t="s">
        <v>3461</v>
      </c>
    </row>
    <row r="3955">
      <c r="A3955" s="56" t="s">
        <v>1431</v>
      </c>
    </row>
    <row r="3956">
      <c r="A3956" s="56" t="s">
        <v>3459</v>
      </c>
    </row>
    <row r="3957">
      <c r="A3957" s="56" t="s">
        <v>3462</v>
      </c>
    </row>
    <row r="3958">
      <c r="A3958" s="56" t="s">
        <v>3463</v>
      </c>
    </row>
    <row r="3959">
      <c r="A3959" s="56" t="s">
        <v>1431</v>
      </c>
    </row>
    <row r="3960">
      <c r="A3960" s="56" t="s">
        <v>3464</v>
      </c>
    </row>
    <row r="3961">
      <c r="A3961" s="56" t="s">
        <v>3465</v>
      </c>
    </row>
    <row r="3962">
      <c r="A3962" s="56" t="s">
        <v>3466</v>
      </c>
    </row>
    <row r="3963">
      <c r="A3963" s="56" t="s">
        <v>1431</v>
      </c>
    </row>
    <row r="3964">
      <c r="A3964" s="56" t="s">
        <v>1431</v>
      </c>
    </row>
    <row r="3965">
      <c r="A3965" s="56" t="s">
        <v>2080</v>
      </c>
    </row>
    <row r="3966">
      <c r="A3966" s="56" t="s">
        <v>932</v>
      </c>
    </row>
    <row r="3967">
      <c r="A3967" s="56" t="s">
        <v>3469</v>
      </c>
    </row>
    <row r="3968">
      <c r="A3968" s="56" t="s">
        <v>3470</v>
      </c>
    </row>
    <row r="3969">
      <c r="A3969" s="56" t="s">
        <v>3471</v>
      </c>
    </row>
    <row r="3970">
      <c r="A3970" s="56" t="s">
        <v>3472</v>
      </c>
    </row>
    <row r="3971">
      <c r="A3971" s="56" t="s">
        <v>3473</v>
      </c>
    </row>
    <row r="3972">
      <c r="A3972" s="56" t="s">
        <v>3474</v>
      </c>
    </row>
    <row r="3973">
      <c r="A3973" s="56" t="s">
        <v>3475</v>
      </c>
    </row>
    <row r="3975">
      <c r="A3975" s="56" t="s">
        <v>3477</v>
      </c>
    </row>
    <row r="3976">
      <c r="A3976" s="56" t="s">
        <v>4510</v>
      </c>
    </row>
    <row r="3977">
      <c r="A3977" s="56" t="s">
        <v>3480</v>
      </c>
    </row>
    <row r="3978">
      <c r="A3978" s="56" t="s">
        <v>3481</v>
      </c>
    </row>
    <row r="3979">
      <c r="A3979" s="56" t="s">
        <v>3482</v>
      </c>
    </row>
    <row r="3980">
      <c r="A3980" s="56" t="s">
        <v>3483</v>
      </c>
    </row>
    <row r="3981">
      <c r="A3981" s="56" t="s">
        <v>3484</v>
      </c>
    </row>
    <row r="3982">
      <c r="A3982" s="56" t="s">
        <v>3485</v>
      </c>
    </row>
    <row r="3983">
      <c r="A3983" s="56" t="s">
        <v>3486</v>
      </c>
    </row>
    <row r="3984">
      <c r="A3984" s="56" t="s">
        <v>3487</v>
      </c>
    </row>
    <row r="3985">
      <c r="A3985" s="56" t="s">
        <v>932</v>
      </c>
    </row>
    <row r="3986">
      <c r="A3986" s="56" t="s">
        <v>3488</v>
      </c>
    </row>
    <row r="3987">
      <c r="A3987" s="56" t="s">
        <v>3489</v>
      </c>
    </row>
    <row r="3988">
      <c r="A3988" s="56" t="s">
        <v>3491</v>
      </c>
    </row>
    <row r="3989">
      <c r="A3989" s="56" t="s">
        <v>4511</v>
      </c>
    </row>
    <row r="3990">
      <c r="A3990" s="56" t="s">
        <v>4512</v>
      </c>
    </row>
    <row r="3991">
      <c r="A3991" s="56" t="s">
        <v>3493</v>
      </c>
    </row>
    <row r="3992">
      <c r="A3992" s="56" t="s">
        <v>3494</v>
      </c>
    </row>
    <row r="3993">
      <c r="A3993" s="56" t="s">
        <v>3495</v>
      </c>
    </row>
    <row r="3994">
      <c r="A3994" s="56" t="s">
        <v>3496</v>
      </c>
    </row>
    <row r="3995">
      <c r="A3995" s="56" t="s">
        <v>3497</v>
      </c>
    </row>
    <row r="3996">
      <c r="A3996" s="56" t="s">
        <v>4513</v>
      </c>
    </row>
    <row r="3997">
      <c r="A3997" s="56" t="s">
        <v>2605</v>
      </c>
    </row>
    <row r="3998">
      <c r="A3998" s="56" t="s">
        <v>932</v>
      </c>
    </row>
    <row r="3999">
      <c r="A3999" s="56" t="s">
        <v>3499</v>
      </c>
    </row>
    <row r="4000">
      <c r="A4000" s="56" t="s">
        <v>3500</v>
      </c>
    </row>
    <row r="4002">
      <c r="A4002" s="56" t="s">
        <v>3501</v>
      </c>
    </row>
  </sheetData>
  <drawing r:id="rId1"/>
</worksheet>
</file>